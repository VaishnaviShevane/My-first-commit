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8DA1C3C9-77E1-4556-BA15-F7B5546AC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" sheetId="1" r:id="rId1"/>
  </sheets>
  <calcPr calcId="191029"/>
  <pivotCaches>
    <pivotCache cacheId="6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41" i="1"/>
  <c r="H40" i="1"/>
  <c r="H34" i="1"/>
  <c r="H36" i="1" s="1"/>
  <c r="H35" i="1"/>
  <c r="H8" i="1"/>
  <c r="H7" i="1"/>
  <c r="H6" i="1"/>
  <c r="H5" i="1"/>
  <c r="H4" i="1"/>
  <c r="H14" i="1"/>
  <c r="H13" i="1"/>
  <c r="H12" i="1"/>
  <c r="H11" i="1"/>
  <c r="H20" i="1"/>
  <c r="H19" i="1"/>
  <c r="H17" i="1"/>
  <c r="H26" i="1"/>
  <c r="H29" i="1"/>
  <c r="H31" i="1"/>
  <c r="H30" i="1"/>
</calcChain>
</file>

<file path=xl/sharedStrings.xml><?xml version="1.0" encoding="utf-8"?>
<sst xmlns="http://schemas.openxmlformats.org/spreadsheetml/2006/main" count="146" uniqueCount="80">
  <si>
    <t>Employee ID</t>
  </si>
  <si>
    <t>Department</t>
  </si>
  <si>
    <t>Salary</t>
  </si>
  <si>
    <t>Experience (Years)</t>
  </si>
  <si>
    <t>Attrition</t>
  </si>
  <si>
    <t>E001</t>
  </si>
  <si>
    <t>Finance</t>
  </si>
  <si>
    <t>No</t>
  </si>
  <si>
    <t>E002</t>
  </si>
  <si>
    <t>Marketing</t>
  </si>
  <si>
    <t>E003</t>
  </si>
  <si>
    <t>Sales</t>
  </si>
  <si>
    <t>E004</t>
  </si>
  <si>
    <t>IT</t>
  </si>
  <si>
    <t>E005</t>
  </si>
  <si>
    <t>HR</t>
  </si>
  <si>
    <t>E006</t>
  </si>
  <si>
    <t>E007</t>
  </si>
  <si>
    <t>Yes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</si>
  <si>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</si>
  <si>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</si>
  <si>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</si>
  <si>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</si>
  <si>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</si>
  <si>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</si>
  <si>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</si>
  <si>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</si>
  <si>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</si>
  <si>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</si>
  <si>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</si>
  <si>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</si>
  <si>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</si>
  <si>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</si>
  <si>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</si>
  <si>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</si>
  <si>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</si>
  <si>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</si>
  <si>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</si>
  <si>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</si>
  <si>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</si>
  <si>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</si>
  <si>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</si>
  <si>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sum()</t>
  </si>
  <si>
    <t>AVERAGE()</t>
  </si>
  <si>
    <t>MIN()</t>
  </si>
  <si>
    <t>MAX()</t>
  </si>
  <si>
    <t>COUNT()</t>
  </si>
  <si>
    <t>LEFT()</t>
  </si>
  <si>
    <t>RIGHT()</t>
  </si>
  <si>
    <t>MID()</t>
  </si>
  <si>
    <t>CONCAT()</t>
  </si>
  <si>
    <t>MEAN()</t>
  </si>
  <si>
    <t>MODE()</t>
  </si>
  <si>
    <t>MEDIAN()</t>
  </si>
  <si>
    <t>STANDARD DEVIATION()</t>
  </si>
  <si>
    <t>Correlation ()</t>
  </si>
  <si>
    <t>VLOOKUP()</t>
  </si>
  <si>
    <t>HLOOKUP()</t>
  </si>
  <si>
    <t>XLOOKUP()</t>
  </si>
  <si>
    <t>TODAY()</t>
  </si>
  <si>
    <t>NOW()</t>
  </si>
  <si>
    <t xml:space="preserve"> DATEDIF()</t>
  </si>
  <si>
    <t>IF()</t>
  </si>
  <si>
    <t>AND()</t>
  </si>
  <si>
    <t>OR()</t>
  </si>
  <si>
    <t xml:space="preserve">                    MATHEMATICAL FUNCTION</t>
  </si>
  <si>
    <r>
      <t xml:space="preserve">                                  </t>
    </r>
    <r>
      <rPr>
        <b/>
        <sz val="12"/>
        <color theme="1"/>
        <rFont val="Calibri"/>
        <family val="2"/>
        <scheme val="minor"/>
      </rPr>
      <t xml:space="preserve"> TEXT FUNCTION</t>
    </r>
  </si>
  <si>
    <r>
      <t xml:space="preserve">                             </t>
    </r>
    <r>
      <rPr>
        <b/>
        <sz val="12"/>
        <color theme="1"/>
        <rFont val="Calibri"/>
        <family val="2"/>
        <scheme val="minor"/>
      </rPr>
      <t>STATISTICS FUNCTION</t>
    </r>
  </si>
  <si>
    <r>
      <t xml:space="preserve">                               </t>
    </r>
    <r>
      <rPr>
        <b/>
        <sz val="12"/>
        <color theme="1"/>
        <rFont val="Calibri"/>
        <family val="2"/>
        <scheme val="minor"/>
      </rPr>
      <t>LOOKUP FUNCTION</t>
    </r>
  </si>
  <si>
    <r>
      <t xml:space="preserve">                            </t>
    </r>
    <r>
      <rPr>
        <b/>
        <sz val="12"/>
        <color theme="1"/>
        <rFont val="Calibri"/>
        <family val="2"/>
        <scheme val="minor"/>
      </rPr>
      <t xml:space="preserve"> LOGICAL FUNCTION</t>
    </r>
  </si>
  <si>
    <r>
      <t xml:space="preserve">                                 </t>
    </r>
    <r>
      <rPr>
        <b/>
        <sz val="12"/>
        <color theme="1"/>
        <rFont val="Calibri"/>
        <family val="2"/>
        <scheme val="minor"/>
      </rPr>
      <t xml:space="preserve"> DATE FUNCTION</t>
    </r>
  </si>
  <si>
    <t>Row Labels</t>
  </si>
  <si>
    <t>Grand Total</t>
  </si>
  <si>
    <t>PMT</t>
  </si>
  <si>
    <t>NPV</t>
  </si>
  <si>
    <t xml:space="preserve">                    FINACIAL FUNCTION</t>
  </si>
  <si>
    <t xml:space="preserve">Excel &amp; Advanced Excel Applications in Business Analytics </t>
  </si>
  <si>
    <t xml:space="preserve">Daily HR Report 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</si>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</sst>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theme="9" tint="0.5999938962981048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0" borderId="0" xfId="0" applyFill="1"/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12" xfId="0" applyFill="1" applyBorder="1"/>
    <xf numFmtId="0" fontId="2" fillId="5" borderId="6" xfId="0" applyFont="1" applyFill="1" applyBorder="1" applyAlignment="1">
      <alignment horizontal="center"/>
    </xf>
    <xf numFmtId="0" fontId="0" fillId="4" borderId="10" xfId="0" applyFill="1" applyBorder="1"/>
    <xf numFmtId="0" fontId="0" fillId="4" borderId="5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0" xfId="0" applyFill="1"/>
    <xf numFmtId="0" fontId="1" fillId="3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4" fontId="0" fillId="4" borderId="11" xfId="0" applyNumberFormat="1" applyFill="1" applyBorder="1"/>
    <xf numFmtId="0" fontId="2" fillId="5" borderId="1" xfId="0" applyFont="1" applyFill="1" applyBorder="1" applyAlignment="1">
      <alignment horizontal="center"/>
    </xf>
    <xf numFmtId="22" fontId="0" fillId="4" borderId="12" xfId="0" applyNumberFormat="1" applyFill="1" applyBorder="1"/>
    <xf numFmtId="0" fontId="0" fillId="4" borderId="5" xfId="0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4" borderId="6" xfId="0" applyNumberFormat="1" applyFill="1" applyBorder="1" applyAlignment="1">
      <alignment horizontal="left"/>
    </xf>
    <xf numFmtId="0" fontId="0" fillId="4" borderId="9" xfId="0" applyNumberFormat="1" applyFill="1" applyBorder="1" applyAlignment="1">
      <alignment horizontal="left"/>
    </xf>
  </cellXfs>
  <cellStyles count="1">
    <cellStyle name="Normal" xfId="0" builtinId="0"/>
  </cellStyles>
  <dxfs count="51"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64" formatCode="&quot;₹&quot;\ #,##0.00;[Red]&quot;₹&quot;\ \-#,##0.00"/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4" tint="0.39997558519241921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₹&quot;\ #,##0.00;[Red]&quot;₹&quot;\ \-#,##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rgbClr val="4F81BD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1447500</c:v>
              </c:pt>
            </c:numLit>
          </c:val>
          <c:extLst>
            <c:ext xmlns:c16="http://schemas.microsoft.com/office/drawing/2014/chart" uri="{C3380CC4-5D6E-409C-BE32-E72D297353CC}">
              <c16:uniqueId val="{00000000-3D5B-45AC-B70E-0EBD763979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4"/>
        <c:gapDepth val="0"/>
        <c:shape val="box"/>
        <c:axId val="511124063"/>
        <c:axId val="350154975"/>
        <c:axId val="0"/>
      </c:bar3DChart>
      <c:catAx>
        <c:axId val="51112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54975"/>
        <c:crosses val="autoZero"/>
        <c:auto val="1"/>
        <c:lblAlgn val="ctr"/>
        <c:lblOffset val="100"/>
        <c:noMultiLvlLbl val="0"/>
      </c:catAx>
      <c:valAx>
        <c:axId val="35015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2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388620</xdr:colOff>
      <xdr:row>1</xdr:row>
      <xdr:rowOff>160020</xdr:rowOff>
    </xdr:from>
    <xdr:to>
      <xdr:col>15</xdr:col>
      <xdr:colOff>137160</xdr:colOff>
      <xdr:row>17</xdr:row>
      <xdr:rowOff>118389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D77DF-5007-488E-86D0-F01891352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9.811500462965" createdVersion="7" refreshedVersion="7" minRefreshableVersion="3" recordCount="30" xr:uid="{1F281936-F01A-4CFA-9C14-37E47C10985D}">
  <cacheSource type="worksheet">
    <worksheetSource name="Table1"/>
  </cacheSource>
  <cacheFields count="5">
    <cacheField name="Employee ID" numFmtId="0">
      <sharedItems/>
    </cacheField>
    <cacheField name="Department" numFmtId="0">
      <sharedItems count="5">
        <s v="Finance"/>
        <s v="Marketing"/>
        <s v="Sales"/>
        <s v="IT"/>
        <s v="HR"/>
      </sharedItems>
    </cacheField>
    <cacheField name="Salary" numFmtId="0">
      <sharedItems containsSemiMixedTypes="0" containsString="0" containsNumber="1" containsInteger="1" minValue="26500" maxValue="70000"/>
    </cacheField>
    <cacheField name="Experience (Years)" numFmtId="0">
      <sharedItems containsSemiMixedTypes="0" containsString="0" containsNumber="1" containsInteger="1" minValue="1" maxValue="10"/>
    </cacheField>
    <cacheField name="Attritio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E001"/>
    <x v="0"/>
    <n v="26500"/>
    <n v="2"/>
    <x v="0"/>
  </r>
  <r>
    <s v="E002"/>
    <x v="1"/>
    <n v="28000"/>
    <n v="3"/>
    <x v="0"/>
  </r>
  <r>
    <s v="E003"/>
    <x v="2"/>
    <n v="29500"/>
    <n v="4"/>
    <x v="0"/>
  </r>
  <r>
    <s v="E004"/>
    <x v="3"/>
    <n v="31000"/>
    <n v="5"/>
    <x v="0"/>
  </r>
  <r>
    <s v="E005"/>
    <x v="4"/>
    <n v="32500"/>
    <n v="6"/>
    <x v="0"/>
  </r>
  <r>
    <s v="E006"/>
    <x v="0"/>
    <n v="34000"/>
    <n v="7"/>
    <x v="0"/>
  </r>
  <r>
    <s v="E007"/>
    <x v="1"/>
    <n v="35500"/>
    <n v="8"/>
    <x v="1"/>
  </r>
  <r>
    <s v="E008"/>
    <x v="2"/>
    <n v="37000"/>
    <n v="9"/>
    <x v="0"/>
  </r>
  <r>
    <s v="E009"/>
    <x v="3"/>
    <n v="38500"/>
    <n v="10"/>
    <x v="0"/>
  </r>
  <r>
    <s v="E010"/>
    <x v="4"/>
    <n v="40000"/>
    <n v="1"/>
    <x v="0"/>
  </r>
  <r>
    <s v="E011"/>
    <x v="0"/>
    <n v="41500"/>
    <n v="2"/>
    <x v="0"/>
  </r>
  <r>
    <s v="E012"/>
    <x v="1"/>
    <n v="43000"/>
    <n v="3"/>
    <x v="0"/>
  </r>
  <r>
    <s v="E013"/>
    <x v="2"/>
    <n v="44500"/>
    <n v="4"/>
    <x v="0"/>
  </r>
  <r>
    <s v="E014"/>
    <x v="3"/>
    <n v="46000"/>
    <n v="5"/>
    <x v="1"/>
  </r>
  <r>
    <s v="E015"/>
    <x v="4"/>
    <n v="47500"/>
    <n v="6"/>
    <x v="0"/>
  </r>
  <r>
    <s v="E016"/>
    <x v="0"/>
    <n v="49000"/>
    <n v="7"/>
    <x v="0"/>
  </r>
  <r>
    <s v="E017"/>
    <x v="1"/>
    <n v="50500"/>
    <n v="8"/>
    <x v="0"/>
  </r>
  <r>
    <s v="E018"/>
    <x v="2"/>
    <n v="52000"/>
    <n v="9"/>
    <x v="0"/>
  </r>
  <r>
    <s v="E019"/>
    <x v="3"/>
    <n v="53500"/>
    <n v="10"/>
    <x v="0"/>
  </r>
  <r>
    <s v="E020"/>
    <x v="4"/>
    <n v="55000"/>
    <n v="1"/>
    <x v="0"/>
  </r>
  <r>
    <s v="E021"/>
    <x v="0"/>
    <n v="56500"/>
    <n v="2"/>
    <x v="1"/>
  </r>
  <r>
    <s v="E022"/>
    <x v="1"/>
    <n v="58000"/>
    <n v="3"/>
    <x v="0"/>
  </r>
  <r>
    <s v="E023"/>
    <x v="2"/>
    <n v="59500"/>
    <n v="4"/>
    <x v="0"/>
  </r>
  <r>
    <s v="E024"/>
    <x v="3"/>
    <n v="61000"/>
    <n v="5"/>
    <x v="0"/>
  </r>
  <r>
    <s v="E025"/>
    <x v="4"/>
    <n v="62500"/>
    <n v="6"/>
    <x v="0"/>
  </r>
  <r>
    <s v="E026"/>
    <x v="0"/>
    <n v="64000"/>
    <n v="7"/>
    <x v="0"/>
  </r>
  <r>
    <s v="E027"/>
    <x v="1"/>
    <n v="65500"/>
    <n v="8"/>
    <x v="0"/>
  </r>
  <r>
    <s v="E028"/>
    <x v="2"/>
    <n v="67000"/>
    <n v="9"/>
    <x v="1"/>
  </r>
  <r>
    <s v="E029"/>
    <x v="3"/>
    <n v="68500"/>
    <n v="10"/>
    <x v="0"/>
  </r>
  <r>
    <s v="E030"/>
    <x v="4"/>
    <n v="7000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6F892-531D-45FB-B746-DDB243C4D1A1}" name="PivotTable3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4:J19" firstHeaderRow="1" firstDataRow="1" firstDataCol="1"/>
  <pivotFields count="5">
    <pivotField showAll="0"/>
    <pivotField axis="axisRow" showAll="0">
      <items count="6">
        <item x="0"/>
        <item x="4"/>
        <item x="3"/>
        <item x="1"/>
        <item x="2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2">
    <field x="1"/>
    <field x="4"/>
  </rowFields>
  <rowItems count="15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5F1B79-57B8-4D76-B2AD-5BE11F4ECF23}" name="Table1" displayName="Table1" ref="A4:E34" totalsRowShown="0" headerRowDxfId="28" dataDxfId="19" headerRowBorderDxfId="50" tableBorderDxfId="49" totalsRowBorderDxfId="48">
  <autoFilter ref="A4:E34" xr:uid="{235F1B79-57B8-4D76-B2AD-5BE11F4ECF2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9E0121F-C45C-4E0B-8FEF-D769EA16EF65}" name="Employee ID" dataDxfId="24"/>
    <tableColumn id="2" xr3:uid="{603AD0FA-7809-49BD-A88A-80AF6054D447}" name="Department" dataDxfId="23"/>
    <tableColumn id="3" xr3:uid="{02422556-FB9A-4133-B440-3A69CEB26D2A}" name="Salary" dataDxfId="22"/>
    <tableColumn id="4" xr3:uid="{FB6BD325-E2D5-416E-89B5-3DA18BADFBEE}" name="Experience (Years)" dataDxfId="21"/>
    <tableColumn id="5" xr3:uid="{B264A447-AD92-4249-B09A-A2155532689A}" name="Attrition" dataDxfId="20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9C89D6-6E37-4949-91A5-3DCE64904B7D}" name="Table3" displayName="Table3" ref="H29:H31" headerRowCount="0" totalsRowShown="0" headerRowDxfId="1" dataDxfId="0" tableBorderDxfId="47" totalsRowBorderDxfId="46">
  <tableColumns count="1">
    <tableColumn id="1" xr3:uid="{A39F77BD-E831-47EE-9EDE-1BC343F87565}" name="Column1" dataDxfId="2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7DE406-A1D5-48A0-AD3F-DDF9E02E5730}" name="Table4" displayName="Table4" ref="H24:H26" headerRowCount="0" totalsRowShown="0" headerRowDxfId="17" dataDxfId="16" tableBorderDxfId="45" totalsRowBorderDxfId="44">
  <tableColumns count="1">
    <tableColumn id="1" xr3:uid="{8591048C-D585-4B13-B571-59D65A0B46BA}" name="Column1" dataDxfId="18">
      <calculatedColumnFormula>VLOOKUP(A5,A5:E34,3,FALSE)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E9DB4F-417C-42C6-A65E-A1AA25427AC0}" name="Table9" displayName="Table9" ref="H11:H14" headerRowCount="0" totalsRowShown="0" headerRowDxfId="14" dataDxfId="13" tableBorderDxfId="43" totalsRowBorderDxfId="42">
  <tableColumns count="1">
    <tableColumn id="1" xr3:uid="{351408A5-BC73-4AF5-88D4-6F30A2970608}" name="Column1" dataDxfId="15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7DDDDE-801A-4662-905D-5E9D96BFDDD3}" name="Table10" displayName="Table10" ref="H17:H21" headerRowCount="0" totalsRowShown="0" headerRowDxfId="11" dataDxfId="10" tableBorderDxfId="41" totalsRowBorderDxfId="40">
  <tableColumns count="1">
    <tableColumn id="1" xr3:uid="{24D7D737-5EF8-42AD-8B64-6AD5F1A82B63}" name="Column1" dataDxfId="12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79949A-1376-476C-B8FC-E023BA37F8E2}" name="Table11" displayName="Table11" ref="H4:H8" headerRowCount="0" totalsRowShown="0" headerRowDxfId="26" dataDxfId="25" headerRowBorderDxfId="39" tableBorderDxfId="38" totalsRowBorderDxfId="37">
  <tableColumns count="1">
    <tableColumn id="1" xr3:uid="{A0D0F5DB-4695-48A8-A3A4-7E37EA6B9AD5}" name="Column1" headerRowDxfId="36" dataDxfId="27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83F5B1-F6B2-4520-9765-9692D940960A}" name="Table14" displayName="Table14" ref="H34:H36" headerRowCount="0" totalsRowShown="0" headerRowDxfId="8" dataDxfId="7" tableBorderDxfId="35" totalsRowBorderDxfId="34">
  <tableColumns count="1">
    <tableColumn id="1" xr3:uid="{90F27A21-53D8-4662-A22F-C28314205895}" name="Column1" dataDxfId="9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EE8D03-78E2-41B8-AC83-EB169D426D5E}" name="Table2" displayName="Table2" ref="G40:H41" headerRowCount="0" totalsRowShown="0" headerRowDxfId="4" dataDxfId="3" headerRowBorderDxfId="33" tableBorderDxfId="32" totalsRowBorderDxfId="31">
  <tableColumns count="2">
    <tableColumn id="1" xr3:uid="{67C423A7-20E8-496B-9C42-C19B1A36A3A8}" name="Column1" headerRowDxfId="30" dataDxfId="6"/>
    <tableColumn id="2" xr3:uid="{1A0AF754-B686-45D3-B980-39A975FCF0F2}" name="Column2" headerRowDxfId="29" dataDxfId="5">
      <calculatedColumnFormula>NPV(5%,C4:C33)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1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workbookViewId="0">
      <pane xSplit="1" ySplit="5" topLeftCell="B6" activePane="bottomRight" state="frozen"/>
      <selection pane="topRight" activeCell="C1" sqref="C1"/>
      <selection pane="bottomLeft" activeCell="A6" sqref="A6"/>
      <selection pane="bottomRight" activeCell="J23" sqref="J23"/>
    </sheetView>
  </sheetViews>
  <sheetFormatPr defaultRowHeight="14.4" x14ac:dyDescent="0.3"/>
  <cols>
    <col min="1" max="1" width="13.44140625" customWidth="1"/>
    <col min="2" max="2" width="13" customWidth="1"/>
    <col min="3" max="3" width="15.77734375" customWidth="1"/>
    <col min="4" max="4" width="18.21875" customWidth="1"/>
    <col min="5" max="5" width="19" customWidth="1"/>
    <col min="7" max="7" width="21.33203125" customWidth="1"/>
    <col min="8" max="8" width="24.33203125" customWidth="1"/>
    <col min="9" max="9" width="11.44140625" bestFit="1" customWidth="1"/>
    <col min="10" max="10" width="12.5546875" bestFit="1" customWidth="1"/>
  </cols>
  <sheetData>
    <row r="1" spans="1:10" ht="27" customHeight="1" x14ac:dyDescent="0.4">
      <c r="A1" s="4"/>
      <c r="B1" s="9" t="s">
        <v>76</v>
      </c>
      <c r="C1" s="9"/>
      <c r="D1" s="9"/>
      <c r="E1" s="9"/>
      <c r="F1" s="7"/>
    </row>
    <row r="2" spans="1:10" ht="27" customHeight="1" x14ac:dyDescent="0.4">
      <c r="A2" s="4"/>
      <c r="B2" s="8" t="s">
        <v>77</v>
      </c>
      <c r="C2" s="8"/>
      <c r="D2" s="5"/>
      <c r="E2" s="5"/>
      <c r="F2" s="7"/>
      <c r="G2" s="7"/>
    </row>
    <row r="3" spans="1:10" ht="15.6" x14ac:dyDescent="0.3">
      <c r="A3" s="5"/>
      <c r="B3" s="5"/>
      <c r="C3" s="5"/>
      <c r="D3" s="5"/>
      <c r="E3" s="5"/>
      <c r="F3" s="7"/>
      <c r="G3" s="6" t="s">
        <v>65</v>
      </c>
      <c r="H3" s="5"/>
    </row>
    <row r="4" spans="1:10" x14ac:dyDescent="0.3">
      <c r="A4" s="10" t="s">
        <v>0</v>
      </c>
      <c r="B4" s="11" t="s">
        <v>1</v>
      </c>
      <c r="C4" s="11" t="s">
        <v>2</v>
      </c>
      <c r="D4" s="11" t="s">
        <v>3</v>
      </c>
      <c r="E4" s="12" t="s">
        <v>4</v>
      </c>
      <c r="G4" s="13" t="s">
        <v>42</v>
      </c>
      <c r="H4" s="14">
        <f>SUM(Table1[Salary])</f>
        <v>1268949</v>
      </c>
      <c r="J4" s="1" t="s">
        <v>71</v>
      </c>
    </row>
    <row r="5" spans="1:10" x14ac:dyDescent="0.3">
      <c r="A5" s="17" t="s">
        <v>5</v>
      </c>
      <c r="B5" s="18" t="s">
        <v>9</v>
      </c>
      <c r="C5" s="18">
        <v>25000</v>
      </c>
      <c r="D5" s="18">
        <v>5</v>
      </c>
      <c r="E5" s="19" t="s">
        <v>18</v>
      </c>
      <c r="G5" s="15" t="s">
        <v>43</v>
      </c>
      <c r="H5" s="14">
        <f>AVERAGE(Table1[Salary])</f>
        <v>42298.3</v>
      </c>
      <c r="J5" s="2" t="s">
        <v>6</v>
      </c>
    </row>
    <row r="6" spans="1:10" x14ac:dyDescent="0.3">
      <c r="A6" s="17" t="s">
        <v>8</v>
      </c>
      <c r="B6" s="18" t="s">
        <v>13</v>
      </c>
      <c r="C6" s="18">
        <v>23500</v>
      </c>
      <c r="D6" s="18">
        <v>2</v>
      </c>
      <c r="E6" s="19" t="s">
        <v>7</v>
      </c>
      <c r="G6" s="13" t="s">
        <v>44</v>
      </c>
      <c r="H6" s="14">
        <f>MIN(Table1[Salary])</f>
        <v>23500</v>
      </c>
      <c r="J6" s="3" t="s">
        <v>7</v>
      </c>
    </row>
    <row r="7" spans="1:10" x14ac:dyDescent="0.3">
      <c r="A7" s="17" t="s">
        <v>10</v>
      </c>
      <c r="B7" s="18" t="s">
        <v>9</v>
      </c>
      <c r="C7" s="18">
        <v>30500</v>
      </c>
      <c r="D7" s="18">
        <v>6</v>
      </c>
      <c r="E7" s="19" t="s">
        <v>7</v>
      </c>
      <c r="G7" s="15" t="s">
        <v>45</v>
      </c>
      <c r="H7" s="14">
        <f>MAX(Table1[Salary])</f>
        <v>70000</v>
      </c>
      <c r="J7" s="3" t="s">
        <v>18</v>
      </c>
    </row>
    <row r="8" spans="1:10" x14ac:dyDescent="0.3">
      <c r="A8" s="17" t="s">
        <v>12</v>
      </c>
      <c r="B8" s="18" t="s">
        <v>11</v>
      </c>
      <c r="C8" s="18">
        <v>31000</v>
      </c>
      <c r="D8" s="18">
        <v>8</v>
      </c>
      <c r="E8" s="19" t="s">
        <v>79</v>
      </c>
      <c r="G8" s="13" t="s">
        <v>46</v>
      </c>
      <c r="H8" s="16">
        <f>COUNT(Table1[Salary])</f>
        <v>30</v>
      </c>
      <c r="J8" s="2" t="s">
        <v>15</v>
      </c>
    </row>
    <row r="9" spans="1:10" x14ac:dyDescent="0.3">
      <c r="A9" s="17" t="s">
        <v>14</v>
      </c>
      <c r="B9" s="18" t="s">
        <v>15</v>
      </c>
      <c r="C9" s="18">
        <v>32500</v>
      </c>
      <c r="D9" s="18">
        <v>4</v>
      </c>
      <c r="E9" s="19" t="s">
        <v>18</v>
      </c>
      <c r="J9" s="3" t="s">
        <v>7</v>
      </c>
    </row>
    <row r="10" spans="1:10" ht="15.6" x14ac:dyDescent="0.3">
      <c r="A10" s="17" t="s">
        <v>16</v>
      </c>
      <c r="B10" s="18" t="s">
        <v>6</v>
      </c>
      <c r="C10" s="18">
        <v>31000</v>
      </c>
      <c r="D10" s="18">
        <v>7</v>
      </c>
      <c r="E10" s="19" t="s">
        <v>7</v>
      </c>
      <c r="G10" s="5" t="s">
        <v>66</v>
      </c>
      <c r="H10" s="5"/>
      <c r="J10" s="2" t="s">
        <v>13</v>
      </c>
    </row>
    <row r="11" spans="1:10" x14ac:dyDescent="0.3">
      <c r="A11" s="17" t="s">
        <v>17</v>
      </c>
      <c r="B11" s="18" t="s">
        <v>15</v>
      </c>
      <c r="C11" s="18">
        <v>24000</v>
      </c>
      <c r="D11" s="18">
        <v>3</v>
      </c>
      <c r="E11" s="19" t="s">
        <v>18</v>
      </c>
      <c r="G11" s="23" t="s">
        <v>47</v>
      </c>
      <c r="H11" s="24" t="str">
        <f>LEFT(B5,2)</f>
        <v>Ma</v>
      </c>
      <c r="J11" s="3" t="s">
        <v>7</v>
      </c>
    </row>
    <row r="12" spans="1:10" x14ac:dyDescent="0.3">
      <c r="A12" s="17" t="s">
        <v>19</v>
      </c>
      <c r="B12" s="18" t="s">
        <v>9</v>
      </c>
      <c r="C12" s="18">
        <v>32450</v>
      </c>
      <c r="D12" s="18">
        <v>2</v>
      </c>
      <c r="E12" s="19" t="s">
        <v>7</v>
      </c>
      <c r="G12" s="15" t="s">
        <v>48</v>
      </c>
      <c r="H12" s="25" t="str">
        <f>RIGHT(B5,3)</f>
        <v>ing</v>
      </c>
      <c r="J12" s="3" t="s">
        <v>18</v>
      </c>
    </row>
    <row r="13" spans="1:10" x14ac:dyDescent="0.3">
      <c r="A13" s="17" t="s">
        <v>20</v>
      </c>
      <c r="B13" s="18" t="s">
        <v>11</v>
      </c>
      <c r="C13" s="18">
        <v>24500</v>
      </c>
      <c r="D13" s="18">
        <v>9</v>
      </c>
      <c r="E13" s="19" t="s">
        <v>7</v>
      </c>
      <c r="G13" s="13" t="s">
        <v>49</v>
      </c>
      <c r="H13" s="25" t="str">
        <f>MID(B5,2,3)</f>
        <v>ark</v>
      </c>
      <c r="J13" s="2" t="s">
        <v>9</v>
      </c>
    </row>
    <row r="14" spans="1:10" x14ac:dyDescent="0.3">
      <c r="A14" s="17" t="s">
        <v>21</v>
      </c>
      <c r="B14" s="18" t="s">
        <v>13</v>
      </c>
      <c r="C14" s="18">
        <v>34500</v>
      </c>
      <c r="D14" s="18">
        <v>3</v>
      </c>
      <c r="E14" s="19" t="s">
        <v>7</v>
      </c>
      <c r="G14" s="15" t="s">
        <v>50</v>
      </c>
      <c r="H14" s="26" t="str">
        <f>_xlfn.CONCAT(A5:B5)</f>
        <v>E001Marketing</v>
      </c>
      <c r="J14" s="3" t="s">
        <v>7</v>
      </c>
    </row>
    <row r="15" spans="1:10" x14ac:dyDescent="0.3">
      <c r="A15" s="17" t="s">
        <v>22</v>
      </c>
      <c r="B15" s="18" t="s">
        <v>6</v>
      </c>
      <c r="C15" s="18">
        <v>41500</v>
      </c>
      <c r="D15" s="18">
        <v>1</v>
      </c>
      <c r="E15" s="19" t="s">
        <v>7</v>
      </c>
      <c r="J15" s="3" t="s">
        <v>18</v>
      </c>
    </row>
    <row r="16" spans="1:10" ht="15.6" x14ac:dyDescent="0.3">
      <c r="A16" s="17" t="s">
        <v>23</v>
      </c>
      <c r="B16" s="18" t="s">
        <v>13</v>
      </c>
      <c r="C16" s="18">
        <v>45000</v>
      </c>
      <c r="D16" s="18">
        <v>7</v>
      </c>
      <c r="E16" s="19" t="s">
        <v>7</v>
      </c>
      <c r="G16" s="5" t="s">
        <v>67</v>
      </c>
      <c r="H16" s="5"/>
      <c r="J16" s="2" t="s">
        <v>11</v>
      </c>
    </row>
    <row r="17" spans="1:10" x14ac:dyDescent="0.3">
      <c r="A17" s="17" t="s">
        <v>24</v>
      </c>
      <c r="B17" s="18" t="s">
        <v>15</v>
      </c>
      <c r="C17" s="18">
        <v>24500</v>
      </c>
      <c r="D17" s="18">
        <v>6</v>
      </c>
      <c r="E17" s="19" t="s">
        <v>7</v>
      </c>
      <c r="G17" s="28" t="s">
        <v>51</v>
      </c>
      <c r="H17" s="24">
        <f>AVERAGE(Table1[Salary])</f>
        <v>42298.3</v>
      </c>
      <c r="J17" s="3" t="s">
        <v>7</v>
      </c>
    </row>
    <row r="18" spans="1:10" x14ac:dyDescent="0.3">
      <c r="A18" s="17" t="s">
        <v>25</v>
      </c>
      <c r="B18" s="18" t="s">
        <v>11</v>
      </c>
      <c r="C18" s="18">
        <v>35000</v>
      </c>
      <c r="D18" s="18">
        <v>4</v>
      </c>
      <c r="E18" s="19" t="s">
        <v>18</v>
      </c>
      <c r="G18" s="29" t="s">
        <v>52</v>
      </c>
      <c r="H18" s="25" t="s">
        <v>78</v>
      </c>
      <c r="J18" s="3" t="s">
        <v>18</v>
      </c>
    </row>
    <row r="19" spans="1:10" x14ac:dyDescent="0.3">
      <c r="A19" s="17" t="s">
        <v>26</v>
      </c>
      <c r="B19" s="18" t="s">
        <v>9</v>
      </c>
      <c r="C19" s="18">
        <v>32600</v>
      </c>
      <c r="D19" s="18">
        <v>3</v>
      </c>
      <c r="E19" s="19" t="s">
        <v>7</v>
      </c>
      <c r="G19" s="30" t="s">
        <v>53</v>
      </c>
      <c r="H19" s="25">
        <f>MEDIAN(Table1[Salary])</f>
        <v>36500</v>
      </c>
      <c r="J19" s="2" t="s">
        <v>72</v>
      </c>
    </row>
    <row r="20" spans="1:10" x14ac:dyDescent="0.3">
      <c r="A20" s="17" t="s">
        <v>27</v>
      </c>
      <c r="B20" s="18" t="s">
        <v>6</v>
      </c>
      <c r="C20" s="18">
        <v>43700</v>
      </c>
      <c r="D20" s="18">
        <v>8</v>
      </c>
      <c r="E20" s="19" t="s">
        <v>7</v>
      </c>
      <c r="G20" s="29" t="s">
        <v>54</v>
      </c>
      <c r="H20" s="25">
        <f>_xlfn.STDEV.P(Table1[Salary])</f>
        <v>15715.722715696744</v>
      </c>
    </row>
    <row r="21" spans="1:10" x14ac:dyDescent="0.3">
      <c r="A21" s="17" t="s">
        <v>28</v>
      </c>
      <c r="B21" s="18" t="s">
        <v>9</v>
      </c>
      <c r="C21" s="18">
        <v>25700</v>
      </c>
      <c r="D21" s="18">
        <v>9</v>
      </c>
      <c r="E21" s="19" t="s">
        <v>18</v>
      </c>
      <c r="G21" s="30" t="s">
        <v>55</v>
      </c>
      <c r="H21" s="26"/>
    </row>
    <row r="22" spans="1:10" x14ac:dyDescent="0.3">
      <c r="A22" s="17" t="s">
        <v>29</v>
      </c>
      <c r="B22" s="18" t="s">
        <v>13</v>
      </c>
      <c r="C22" s="18">
        <v>54399</v>
      </c>
      <c r="D22" s="18">
        <v>10</v>
      </c>
      <c r="E22" s="19" t="s">
        <v>7</v>
      </c>
    </row>
    <row r="23" spans="1:10" ht="15.6" x14ac:dyDescent="0.3">
      <c r="A23" s="17" t="s">
        <v>30</v>
      </c>
      <c r="B23" s="18" t="s">
        <v>11</v>
      </c>
      <c r="C23" s="18">
        <v>43600</v>
      </c>
      <c r="D23" s="18">
        <v>5</v>
      </c>
      <c r="E23" s="19" t="s">
        <v>18</v>
      </c>
      <c r="G23" s="5" t="s">
        <v>68</v>
      </c>
      <c r="H23" s="5"/>
    </row>
    <row r="24" spans="1:10" x14ac:dyDescent="0.3">
      <c r="A24" s="17" t="s">
        <v>31</v>
      </c>
      <c r="B24" s="18" t="s">
        <v>15</v>
      </c>
      <c r="C24" s="18">
        <v>53000</v>
      </c>
      <c r="D24" s="18">
        <v>4</v>
      </c>
      <c r="E24" s="19" t="s">
        <v>7</v>
      </c>
      <c r="G24" s="23" t="s">
        <v>56</v>
      </c>
      <c r="H24" s="24" t="str">
        <f>VLOOKUP(A5,A5:E34,5,FALSE)</f>
        <v>Yes</v>
      </c>
    </row>
    <row r="25" spans="1:10" x14ac:dyDescent="0.3">
      <c r="A25" s="17" t="s">
        <v>32</v>
      </c>
      <c r="B25" s="18" t="s">
        <v>6</v>
      </c>
      <c r="C25" s="18">
        <v>38000</v>
      </c>
      <c r="D25" s="18">
        <v>8</v>
      </c>
      <c r="E25" s="19" t="s">
        <v>18</v>
      </c>
      <c r="G25" s="15" t="s">
        <v>57</v>
      </c>
      <c r="H25" s="25" t="str">
        <f>HLOOKUP(A5,A5:E35,3,FALSE)</f>
        <v>E003</v>
      </c>
    </row>
    <row r="26" spans="1:10" x14ac:dyDescent="0.3">
      <c r="A26" s="17" t="s">
        <v>33</v>
      </c>
      <c r="B26" s="18" t="s">
        <v>9</v>
      </c>
      <c r="C26" s="18">
        <v>25000</v>
      </c>
      <c r="D26" s="18">
        <v>5</v>
      </c>
      <c r="E26" s="19" t="s">
        <v>7</v>
      </c>
      <c r="G26" s="13" t="s">
        <v>58</v>
      </c>
      <c r="H26" s="26" t="str">
        <f>VLOOKUP(A7,A7:E36,5,FALSE)</f>
        <v>No</v>
      </c>
    </row>
    <row r="27" spans="1:10" x14ac:dyDescent="0.3">
      <c r="A27" s="17" t="s">
        <v>34</v>
      </c>
      <c r="B27" s="18" t="s">
        <v>11</v>
      </c>
      <c r="C27" s="18">
        <v>59500</v>
      </c>
      <c r="D27" s="18">
        <v>4</v>
      </c>
      <c r="E27" s="19" t="s">
        <v>18</v>
      </c>
      <c r="G27" s="27"/>
      <c r="H27" s="27"/>
    </row>
    <row r="28" spans="1:10" ht="15.6" x14ac:dyDescent="0.3">
      <c r="A28" s="17" t="s">
        <v>35</v>
      </c>
      <c r="B28" s="18" t="s">
        <v>9</v>
      </c>
      <c r="C28" s="18">
        <v>61000</v>
      </c>
      <c r="D28" s="18">
        <v>5</v>
      </c>
      <c r="E28" s="19" t="s">
        <v>7</v>
      </c>
      <c r="G28" s="5" t="s">
        <v>69</v>
      </c>
      <c r="H28" s="5"/>
    </row>
    <row r="29" spans="1:10" x14ac:dyDescent="0.3">
      <c r="A29" s="17" t="s">
        <v>36</v>
      </c>
      <c r="B29" s="18" t="s">
        <v>6</v>
      </c>
      <c r="C29" s="18">
        <v>62500</v>
      </c>
      <c r="D29" s="18">
        <v>6</v>
      </c>
      <c r="E29" s="19" t="s">
        <v>18</v>
      </c>
      <c r="G29" s="13" t="s">
        <v>62</v>
      </c>
      <c r="H29" s="24" t="str">
        <f>IF(A5&gt;26000,"MINIMUM")</f>
        <v>MINIMUM</v>
      </c>
    </row>
    <row r="30" spans="1:10" x14ac:dyDescent="0.3">
      <c r="A30" s="17" t="s">
        <v>37</v>
      </c>
      <c r="B30" s="18" t="s">
        <v>9</v>
      </c>
      <c r="C30" s="18">
        <v>64000</v>
      </c>
      <c r="D30" s="18">
        <v>8</v>
      </c>
      <c r="E30" s="19" t="s">
        <v>7</v>
      </c>
      <c r="G30" s="15" t="s">
        <v>64</v>
      </c>
      <c r="H30" s="14" t="b">
        <f>OR(A5&gt;26000,"TURE")</f>
        <v>1</v>
      </c>
    </row>
    <row r="31" spans="1:10" x14ac:dyDescent="0.3">
      <c r="A31" s="17" t="s">
        <v>38</v>
      </c>
      <c r="B31" s="18" t="s">
        <v>13</v>
      </c>
      <c r="C31" s="18">
        <v>65500</v>
      </c>
      <c r="D31" s="18">
        <v>10</v>
      </c>
      <c r="E31" s="19" t="s">
        <v>7</v>
      </c>
      <c r="G31" s="13" t="s">
        <v>63</v>
      </c>
      <c r="H31" s="16" t="b">
        <f>AND(C5&gt;70000,"TURE")</f>
        <v>0</v>
      </c>
    </row>
    <row r="32" spans="1:10" x14ac:dyDescent="0.3">
      <c r="A32" s="17" t="s">
        <v>39</v>
      </c>
      <c r="B32" s="18" t="s">
        <v>11</v>
      </c>
      <c r="C32" s="18">
        <v>67000</v>
      </c>
      <c r="D32" s="18">
        <v>9</v>
      </c>
      <c r="E32" s="19" t="s">
        <v>7</v>
      </c>
    </row>
    <row r="33" spans="1:8" ht="15.6" x14ac:dyDescent="0.3">
      <c r="A33" s="17" t="s">
        <v>40</v>
      </c>
      <c r="B33" s="18" t="s">
        <v>15</v>
      </c>
      <c r="C33" s="18">
        <v>68500</v>
      </c>
      <c r="D33" s="18">
        <v>5</v>
      </c>
      <c r="E33" s="19" t="s">
        <v>7</v>
      </c>
      <c r="G33" s="5" t="s">
        <v>70</v>
      </c>
      <c r="H33" s="5"/>
    </row>
    <row r="34" spans="1:8" x14ac:dyDescent="0.3">
      <c r="A34" s="20" t="s">
        <v>41</v>
      </c>
      <c r="B34" s="21" t="s">
        <v>6</v>
      </c>
      <c r="C34" s="21">
        <v>70000</v>
      </c>
      <c r="D34" s="21">
        <v>6</v>
      </c>
      <c r="E34" s="22" t="s">
        <v>7</v>
      </c>
      <c r="G34" s="23" t="s">
        <v>59</v>
      </c>
      <c r="H34" s="31">
        <f ca="1">TODAY()</f>
        <v>46075</v>
      </c>
    </row>
    <row r="35" spans="1:8" x14ac:dyDescent="0.3">
      <c r="G35" s="32" t="s">
        <v>60</v>
      </c>
      <c r="H35" s="33">
        <f ca="1">NOW()</f>
        <v>46075.829476967592</v>
      </c>
    </row>
    <row r="36" spans="1:8" x14ac:dyDescent="0.3">
      <c r="G36" s="23" t="s">
        <v>61</v>
      </c>
      <c r="H36" s="16">
        <f ca="1">DAY(H34)</f>
        <v>22</v>
      </c>
    </row>
    <row r="39" spans="1:8" ht="15.6" x14ac:dyDescent="0.3">
      <c r="G39" s="6" t="s">
        <v>75</v>
      </c>
      <c r="H39" s="5"/>
    </row>
    <row r="40" spans="1:8" x14ac:dyDescent="0.3">
      <c r="G40" s="34" t="s">
        <v>73</v>
      </c>
      <c r="H40" s="36">
        <f>PMT(5%/12, 60, C17)</f>
        <v>-462.34522427826789</v>
      </c>
    </row>
    <row r="41" spans="1:8" x14ac:dyDescent="0.3">
      <c r="G41" s="35" t="s">
        <v>74</v>
      </c>
      <c r="H41" s="37">
        <f>NPV(5%,C5:C34)</f>
        <v>572705.27051908581</v>
      </c>
    </row>
    <row r="42" spans="1:8" ht="33.6" customHeight="1" x14ac:dyDescent="0.3"/>
  </sheetData>
  <mergeCells count="1">
    <mergeCell ref="B2:C2"/>
  </mergeCells>
  <pageMargins left="0.75" right="0.75" top="1" bottom="1" header="0.5" footer="0.5"/>
  <pageSetup orientation="portrait" r:id="rId2"/>
  <drawing r:id="rId3"/>
  <tableParts count="8"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2026-02-16T11:22:39Z</dcterms:created>
  <dcterms:modified xsi:type="dcterms:W3CDTF">2026-02-22T14:25:05Z</dcterms:modified>
</cp:coreProperties>
</file>