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CA058893-05C3-49AF-A05F-9E95C400B92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RKETI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1" i="1" l="1"/>
  <c r="K5" i="1"/>
  <c r="K4" i="1"/>
  <c r="H15" i="1"/>
  <c r="H11" i="1"/>
  <c r="H14" i="1"/>
  <c r="H13" i="1"/>
  <c r="H26" i="1"/>
  <c r="H31" i="1"/>
  <c r="H21" i="1"/>
  <c r="H20" i="1"/>
  <c r="H19" i="1"/>
  <c r="H25" i="1"/>
  <c r="H39" i="1"/>
  <c r="H7" i="1"/>
  <c r="H6" i="1"/>
  <c r="H5" i="1"/>
  <c r="H4" i="1"/>
  <c r="H33" i="1"/>
  <c r="H32" i="1"/>
  <c r="H40" i="1"/>
  <c r="H38" i="1"/>
  <c r="H37" i="1"/>
</calcChain>
</file>

<file path=xl/sharedStrings.xml><?xml version="1.0" encoding="utf-8"?>
<sst xmlns="http://schemas.openxmlformats.org/spreadsheetml/2006/main" count="84" uniqueCount="49">
  <si>
    <t>Campaign</t>
  </si>
  <si>
    <t>Leads Generated</t>
  </si>
  <si>
    <t>Cost (₹)</t>
  </si>
  <si>
    <t>Conversion Rate (%)</t>
  </si>
  <si>
    <t>YouTube Ads</t>
  </si>
  <si>
    <t>Facebook Ads</t>
  </si>
  <si>
    <t>Google Ads</t>
  </si>
  <si>
    <t>Email Marketing</t>
  </si>
  <si>
    <t>Instagram Campaign</t>
  </si>
  <si>
    <t>LinkedIn Campaign</t>
  </si>
  <si>
    <t>sum()</t>
  </si>
  <si>
    <t>AVERAGE()</t>
  </si>
  <si>
    <t>MAX()</t>
  </si>
  <si>
    <t>COUNT()</t>
  </si>
  <si>
    <t xml:space="preserve">OR </t>
  </si>
  <si>
    <t>AND</t>
  </si>
  <si>
    <t>IF</t>
  </si>
  <si>
    <t>LEFT()</t>
  </si>
  <si>
    <t>RIGHT()</t>
  </si>
  <si>
    <t>MID()</t>
  </si>
  <si>
    <t>CONCAT()</t>
  </si>
  <si>
    <t>MIN()</t>
  </si>
  <si>
    <t>TODAY()</t>
  </si>
  <si>
    <t>NOW()</t>
  </si>
  <si>
    <t xml:space="preserve"> DATEDIF()</t>
  </si>
  <si>
    <t>VLOOKUP()</t>
  </si>
  <si>
    <t>SR.NO</t>
  </si>
  <si>
    <t>HLOOKUP()</t>
  </si>
  <si>
    <t>XLOOKUP()</t>
  </si>
  <si>
    <t>MEAN()</t>
  </si>
  <si>
    <t>MODE()</t>
  </si>
  <si>
    <t>MEDIAN()</t>
  </si>
  <si>
    <t>STANDARD DEVIATION()</t>
  </si>
  <si>
    <t>Correlation ()</t>
  </si>
  <si>
    <r>
      <t xml:space="preserve">                                       </t>
    </r>
    <r>
      <rPr>
        <b/>
        <sz val="12"/>
        <rFont val="Calibri"/>
        <family val="2"/>
        <scheme val="minor"/>
      </rPr>
      <t>TEXT FUNCTION</t>
    </r>
  </si>
  <si>
    <t xml:space="preserve">                        STATISTICS FUNCTION</t>
  </si>
  <si>
    <t xml:space="preserve">                          LOOKUP FUNCTION</t>
  </si>
  <si>
    <t>FUNCTION</t>
  </si>
  <si>
    <t>AMT</t>
  </si>
  <si>
    <t xml:space="preserve">                                             DATE FUNCTION</t>
  </si>
  <si>
    <t>NO</t>
  </si>
  <si>
    <t xml:space="preserve">                 MATHEMATICS FUNCTION</t>
  </si>
  <si>
    <r>
      <t xml:space="preserve">                              </t>
    </r>
    <r>
      <rPr>
        <b/>
        <sz val="12"/>
        <rFont val="Calibri"/>
        <family val="2"/>
        <scheme val="minor"/>
      </rPr>
      <t>LOGICAL FUNCTION</t>
    </r>
  </si>
  <si>
    <t>Excel &amp; Advanced Excel Applications in Business Analytics</t>
  </si>
  <si>
    <t>Financial Functions</t>
  </si>
  <si>
    <t>PMT</t>
  </si>
  <si>
    <t>NPV</t>
  </si>
  <si>
    <t>Function</t>
  </si>
  <si>
    <t>Daily Marketing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</si>
</sst>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7" x14ac:knownFonts="1">
    <font>
      <sz val="11"/>
      <name val="Calibri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sz val="14"/>
      <name val="Calibri"/>
      <family val="2"/>
      <scheme val="minor"/>
    </font>
    <font>
      <b/>
      <sz val="14"/>
      <name val="Calibri"/>
      <family val="2"/>
      <scheme val="minor"/>
    </font>
    <font>
      <sz val="11"/>
      <name val="Calibri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4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5" fillId="0" borderId="0" applyFont="0" applyFill="0" applyBorder="0" applyAlignment="0" applyProtection="0"/>
  </cellStyleXfs>
  <cellXfs count="39">
    <xf numFmtId="0" fontId="0" fillId="0" borderId="0" xfId="0"/>
    <xf numFmtId="0" fontId="0" fillId="2" borderId="0" xfId="0" applyFill="1"/>
    <xf numFmtId="0" fontId="3" fillId="2" borderId="0" xfId="0" applyFont="1" applyFill="1"/>
    <xf numFmtId="0" fontId="4" fillId="2" borderId="0" xfId="0" applyFont="1" applyFill="1"/>
    <xf numFmtId="0" fontId="3" fillId="2" borderId="1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1" fillId="2" borderId="0" xfId="0" applyFont="1" applyFill="1"/>
    <xf numFmtId="0" fontId="1" fillId="2" borderId="2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2" fillId="2" borderId="0" xfId="0" applyFont="1" applyFill="1"/>
    <xf numFmtId="0" fontId="2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0" fillId="3" borderId="1" xfId="0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22" fontId="0" fillId="3" borderId="1" xfId="0" applyNumberFormat="1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6" fillId="2" borderId="1" xfId="0" applyFont="1" applyFill="1" applyBorder="1"/>
    <xf numFmtId="0" fontId="0" fillId="3" borderId="1" xfId="0" applyFill="1" applyBorder="1"/>
    <xf numFmtId="0" fontId="0" fillId="0" borderId="0" xfId="0" applyNumberFormat="1"/>
    <xf numFmtId="0" fontId="0" fillId="3" borderId="1" xfId="0" applyNumberFormat="1" applyFill="1" applyBorder="1"/>
    <xf numFmtId="0" fontId="1" fillId="3" borderId="1" xfId="0" applyNumberFormat="1" applyFont="1" applyFill="1" applyBorder="1"/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2" fontId="0" fillId="3" borderId="6" xfId="0" applyNumberFormat="1" applyFill="1" applyBorder="1" applyAlignment="1">
      <alignment horizontal="center"/>
    </xf>
    <xf numFmtId="0" fontId="0" fillId="3" borderId="9" xfId="1" applyNumberFormat="1" applyFont="1" applyFill="1" applyBorder="1" applyAlignment="1">
      <alignment horizontal="center"/>
    </xf>
    <xf numFmtId="0" fontId="4" fillId="2" borderId="0" xfId="0" applyFont="1" applyFill="1" applyAlignment="1">
      <alignment horizontal="center"/>
    </xf>
  </cellXfs>
  <cellStyles count="2">
    <cellStyle name="Currency" xfId="1" builtinId="4"/>
    <cellStyle name="Normal" xfId="0" builtinId="0"/>
  </cellStyles>
  <dxfs count="52">
    <dxf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ill>
        <patternFill patternType="solid">
          <fgColor indexed="64"/>
          <bgColor rgb="FF0070C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 tint="0.39997558519241921"/>
        </patternFill>
      </fill>
    </dxf>
    <dxf>
      <border>
        <bottom style="thin">
          <color indexed="64"/>
        </bottom>
      </border>
    </dxf>
    <dxf>
      <fill>
        <patternFill>
          <fgColor indexed="64"/>
          <bgColor rgb="FF0070C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</dxf>
    <dxf>
      <fill>
        <patternFill>
          <fgColor indexed="64"/>
          <bgColor rgb="FF0070C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</dxf>
    <dxf>
      <fill>
        <patternFill>
          <fgColor indexed="64"/>
          <bgColor rgb="FF0070C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ill>
        <patternFill>
          <fgColor indexed="64"/>
          <bgColor rgb="FF0070C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ill>
        <patternFill>
          <fgColor indexed="64"/>
          <bgColor rgb="FF0070C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auto="1"/>
        <name val="Calibri"/>
        <scheme val="minor"/>
      </font>
      <fill>
        <patternFill>
          <fgColor indexed="64"/>
          <bgColor rgb="FF0070C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auto="1"/>
        <name val="Calibri"/>
        <scheme val="minor"/>
      </font>
      <fill>
        <patternFill>
          <fgColor indexed="64"/>
          <bgColor rgb="FF0070C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8861334438458367E-2"/>
          <c:y val="0.15175707203266259"/>
          <c:w val="0.62056958143389973"/>
          <c:h val="0.6076742490522018"/>
        </c:manualLayout>
      </c:layout>
      <c:lineChart>
        <c:grouping val="standard"/>
        <c:varyColors val="0"/>
        <c:ser>
          <c:idx val="0"/>
          <c:order val="0"/>
          <c:tx>
            <c:v>Sum of Leads Generated</c:v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strLit>
              <c:ptCount val="6"/>
              <c:pt idx="0">
                <c:v>Email Marketing</c:v>
              </c:pt>
              <c:pt idx="1">
                <c:v>Facebook Ads</c:v>
              </c:pt>
              <c:pt idx="2">
                <c:v>Google Ads</c:v>
              </c:pt>
              <c:pt idx="3">
                <c:v>Instagram Campaign</c:v>
              </c:pt>
              <c:pt idx="4">
                <c:v>LinkedIn Campaign</c:v>
              </c:pt>
              <c:pt idx="5">
                <c:v>YouTube Ads</c:v>
              </c:pt>
            </c:strLit>
          </c:cat>
          <c:val>
            <c:numLit>
              <c:formatCode>General</c:formatCode>
              <c:ptCount val="6"/>
              <c:pt idx="0">
                <c:v>1112</c:v>
              </c:pt>
              <c:pt idx="1">
                <c:v>1011</c:v>
              </c:pt>
              <c:pt idx="2">
                <c:v>1536</c:v>
              </c:pt>
              <c:pt idx="3">
                <c:v>746</c:v>
              </c:pt>
              <c:pt idx="4">
                <c:v>783</c:v>
              </c:pt>
              <c:pt idx="5">
                <c:v>294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E836-4F09-B0DB-DC1483588936}"/>
            </c:ext>
          </c:extLst>
        </c:ser>
        <c:ser>
          <c:idx val="1"/>
          <c:order val="1"/>
          <c:tx>
            <c:v>Sum of Cost (₹)</c:v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strLit>
              <c:ptCount val="6"/>
              <c:pt idx="0">
                <c:v>Email Marketing</c:v>
              </c:pt>
              <c:pt idx="1">
                <c:v>Facebook Ads</c:v>
              </c:pt>
              <c:pt idx="2">
                <c:v>Google Ads</c:v>
              </c:pt>
              <c:pt idx="3">
                <c:v>Instagram Campaign</c:v>
              </c:pt>
              <c:pt idx="4">
                <c:v>LinkedIn Campaign</c:v>
              </c:pt>
              <c:pt idx="5">
                <c:v>YouTube Ads</c:v>
              </c:pt>
            </c:strLit>
          </c:cat>
          <c:val>
            <c:numLit>
              <c:formatCode>General</c:formatCode>
              <c:ptCount val="6"/>
              <c:pt idx="0">
                <c:v>191321</c:v>
              </c:pt>
              <c:pt idx="1">
                <c:v>195503</c:v>
              </c:pt>
              <c:pt idx="2">
                <c:v>220480</c:v>
              </c:pt>
              <c:pt idx="3">
                <c:v>123847</c:v>
              </c:pt>
              <c:pt idx="4">
                <c:v>71645</c:v>
              </c:pt>
              <c:pt idx="5">
                <c:v>86176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E836-4F09-B0DB-DC14835889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4201792"/>
        <c:axId val="764205952"/>
      </c:lineChart>
      <c:catAx>
        <c:axId val="764201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4205952"/>
        <c:crosses val="autoZero"/>
        <c:auto val="1"/>
        <c:lblAlgn val="ctr"/>
        <c:lblOffset val="100"/>
        <c:noMultiLvlLbl val="0"/>
      </c:catAx>
      <c:valAx>
        <c:axId val="764205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4201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5">
        <a:lumMod val="50000"/>
      </a:schemeClr>
    </a:soli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752929</xdr:colOff>
      <xdr:row>8</xdr:row>
      <xdr:rowOff>117929</xdr:rowOff>
    </xdr:from>
    <xdr:to>
      <xdr:col>14</xdr:col>
      <xdr:colOff>435428</xdr:colOff>
      <xdr:row>25</xdr:row>
      <xdr:rowOff>54429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7F0139-30BD-403D-817F-9CBFC2CA2F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DA692E-0454-4842-99A3-7C1A15A87CAF}" name="Table1" displayName="Table1" ref="B4:E34" totalsRowShown="0" headerRowDxfId="51" dataDxfId="49" headerRowBorderDxfId="50" tableBorderDxfId="48" totalsRowBorderDxfId="47">
  <autoFilter ref="B4:E34" xr:uid="{6BDA692E-0454-4842-99A3-7C1A15A87CAF}">
    <filterColumn colId="0" hiddenButton="1"/>
    <filterColumn colId="1" hiddenButton="1"/>
    <filterColumn colId="2" hiddenButton="1"/>
    <filterColumn colId="3" hiddenButton="1"/>
  </autoFilter>
  <tableColumns count="4">
    <tableColumn id="1" xr3:uid="{E939BB03-F29D-4346-9D01-E8994A69A215}" name="Campaign" dataDxfId="46"/>
    <tableColumn id="2" xr3:uid="{D85FB1E6-B3A7-4148-B05D-FC0FC155067B}" name="Leads Generated" dataDxfId="45"/>
    <tableColumn id="3" xr3:uid="{48ED8005-C9B7-4B14-B9F2-300FF1A71A5A}" name="Cost (₹)" dataDxfId="44"/>
    <tableColumn id="4" xr3:uid="{0C683A4E-24AE-4BDA-AC50-947469B12F2F}" name="Conversion Rate (%)" dataDxfId="43"/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36546FA-898B-4ECC-9ACD-925E07B97675}" name="Table2" displayName="Table2" ref="A4:A34" totalsRowShown="0" headerRowDxfId="42" dataDxfId="40" headerRowBorderDxfId="41" tableBorderDxfId="39" totalsRowBorderDxfId="38">
  <autoFilter ref="A4:A34" xr:uid="{336546FA-898B-4ECC-9ACD-925E07B97675}">
    <filterColumn colId="0" hiddenButton="1"/>
  </autoFilter>
  <tableColumns count="1">
    <tableColumn id="1" xr3:uid="{523284FB-EE7E-4500-92BB-EA4F0F58113F}" name="SR.NO" dataDxfId="37"/>
  </tableColumns>
  <tableStyleInfo name="TableStyleMedium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A1125C0-5737-40D9-BA38-22D6F9C41C6D}" name="Table3" displayName="Table3" ref="G3:H7" totalsRowShown="0" headerRowDxfId="36" dataDxfId="34" headerRowBorderDxfId="35" tableBorderDxfId="33" totalsRowBorderDxfId="32">
  <autoFilter ref="G3:H7" xr:uid="{6A1125C0-5737-40D9-BA38-22D6F9C41C6D}">
    <filterColumn colId="0" hiddenButton="1"/>
    <filterColumn colId="1" hiddenButton="1"/>
  </autoFilter>
  <tableColumns count="2">
    <tableColumn id="1" xr3:uid="{4D619220-B2F3-4C6F-BACA-F32AB5BBBFB4}" name="FUNCTION" dataDxfId="31"/>
    <tableColumn id="2" xr3:uid="{28BA5D26-163C-4F2C-B2F8-2D9C5F0418E1}" name="AMT" dataDxfId="30"/>
  </tableColumns>
  <tableStyleInfo name="TableStyleMedium1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C6276E4-01E5-4C01-9832-2FFFCE603E02}" name="Table4" displayName="Table4" ref="G36:H41" totalsRowShown="0" headerRowDxfId="29" dataDxfId="27" headerRowBorderDxfId="28" tableBorderDxfId="26" totalsRowBorderDxfId="25">
  <autoFilter ref="G36:H41" xr:uid="{AC6276E4-01E5-4C01-9832-2FFFCE603E02}">
    <filterColumn colId="0" hiddenButton="1"/>
    <filterColumn colId="1" hiddenButton="1"/>
  </autoFilter>
  <tableColumns count="2">
    <tableColumn id="1" xr3:uid="{D1C0524F-88B1-48C5-A71C-F14ED5E43109}" name="FUNCTION" dataDxfId="24"/>
    <tableColumn id="2" xr3:uid="{7C8FCCE5-64B0-465E-88A9-B87748FDED61}" name="AMT" dataDxfId="23"/>
  </tableColumns>
  <tableStyleInfo name="TableStyleMedium1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3DA954E-550A-41CA-B93D-64CA1350EDED}" name="Table6" displayName="Table6" ref="G30:H33" totalsRowShown="0" headerRowDxfId="22" dataDxfId="21" tableBorderDxfId="20">
  <autoFilter ref="G30:H33" xr:uid="{93DA954E-550A-41CA-B93D-64CA1350EDED}">
    <filterColumn colId="0" hiddenButton="1"/>
    <filterColumn colId="1" hiddenButton="1"/>
  </autoFilter>
  <tableColumns count="2">
    <tableColumn id="1" xr3:uid="{3F8EBC3D-2F4C-4430-9C75-78DBD3EC9AFC}" name="FUNCTION" dataDxfId="19"/>
    <tableColumn id="2" xr3:uid="{121F390A-2EBA-4F16-933E-AF95F2B16546}" name="AMT" dataDxfId="18"/>
  </tableColumns>
  <tableStyleInfo name="TableStyleMedium1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16BDEB9-9B42-4CA4-A77E-447A7886749A}" name="Table7" displayName="Table7" ref="G24:H27" totalsRowShown="0" headerRowDxfId="17" dataDxfId="16">
  <autoFilter ref="G24:H27" xr:uid="{C16BDEB9-9B42-4CA4-A77E-447A7886749A}">
    <filterColumn colId="0" hiddenButton="1"/>
    <filterColumn colId="1" hiddenButton="1"/>
  </autoFilter>
  <tableColumns count="2">
    <tableColumn id="1" xr3:uid="{82590540-8334-4545-99EA-C39BA16A4237}" name="FUNCTION" dataDxfId="15"/>
    <tableColumn id="2" xr3:uid="{45258300-4D6E-42D0-AD67-81F768F13C87}" name="AMT" dataDxfId="14"/>
  </tableColumns>
  <tableStyleInfo name="TableStyleMedium14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A0C126B-4BFC-4F02-AFF1-5A51CE6F44FB}" name="Table8" displayName="Table8" ref="G18:H21" totalsRowShown="0" headerRowDxfId="13" dataDxfId="11" headerRowBorderDxfId="12" tableBorderDxfId="10" totalsRowBorderDxfId="9">
  <autoFilter ref="G18:H21" xr:uid="{2A0C126B-4BFC-4F02-AFF1-5A51CE6F44FB}">
    <filterColumn colId="0" hiddenButton="1"/>
    <filterColumn colId="1" hiddenButton="1"/>
  </autoFilter>
  <tableColumns count="2">
    <tableColumn id="1" xr3:uid="{DE323F1A-263F-4208-8DB7-E6FB2863B7F3}" name="FUNCTION" dataDxfId="8"/>
    <tableColumn id="2" xr3:uid="{24314913-7D6D-4EC9-BB00-73F6D6F61B73}" name="AMT" dataDxfId="7"/>
  </tableColumns>
  <tableStyleInfo name="TableStyleMedium14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E1D86C3-C379-4D88-85F6-FEB4B445C8AC}" name="Table9" displayName="Table9" ref="G10:H15" totalsRowShown="0" headerRowDxfId="6" dataDxfId="4" headerRowBorderDxfId="5" tableBorderDxfId="3" totalsRowBorderDxfId="2">
  <autoFilter ref="G10:H15" xr:uid="{1E1D86C3-C379-4D88-85F6-FEB4B445C8AC}">
    <filterColumn colId="0" hiddenButton="1"/>
    <filterColumn colId="1" hiddenButton="1"/>
  </autoFilter>
  <tableColumns count="2">
    <tableColumn id="1" xr3:uid="{F0B9DD65-994B-4FBA-9EE5-2F5D31B22179}" name="FUNCTION" dataDxfId="1"/>
    <tableColumn id="2" xr3:uid="{6DE8E2A7-837C-40A1-A546-D002276DE621}" name="AMT" dataDxfId="0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6.xml"/><Relationship Id="rId3" Type="http://schemas.openxmlformats.org/officeDocument/2006/relationships/table" Target="../tables/table1.xml"/><Relationship Id="rId7" Type="http://schemas.openxmlformats.org/officeDocument/2006/relationships/table" Target="../tables/table5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4.xml"/><Relationship Id="rId5" Type="http://schemas.openxmlformats.org/officeDocument/2006/relationships/table" Target="../tables/table3.xml"/><Relationship Id="rId10" Type="http://schemas.openxmlformats.org/officeDocument/2006/relationships/table" Target="../tables/table8.xml"/><Relationship Id="rId4" Type="http://schemas.openxmlformats.org/officeDocument/2006/relationships/table" Target="../tables/table2.xml"/><Relationship Id="rId9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3"/>
  <sheetViews>
    <sheetView tabSelected="1" zoomScale="84" zoomScaleNormal="100" workbookViewId="0">
      <selection activeCell="F5" sqref="F5"/>
    </sheetView>
  </sheetViews>
  <sheetFormatPr defaultColWidth="14.44140625" defaultRowHeight="15" customHeight="1" x14ac:dyDescent="0.3"/>
  <cols>
    <col min="2" max="2" width="22.109375" customWidth="1"/>
    <col min="3" max="3" width="19.21875" customWidth="1"/>
    <col min="4" max="4" width="14.109375" customWidth="1"/>
    <col min="5" max="5" width="23.44140625" customWidth="1"/>
    <col min="6" max="6" width="8.6640625" customWidth="1"/>
    <col min="7" max="7" width="23.21875" customWidth="1"/>
    <col min="8" max="8" width="22" customWidth="1"/>
    <col min="9" max="9" width="11.77734375" customWidth="1"/>
    <col min="10" max="10" width="14.88671875" customWidth="1"/>
    <col min="11" max="11" width="16.88671875" customWidth="1"/>
    <col min="13" max="13" width="15.109375" bestFit="1" customWidth="1"/>
  </cols>
  <sheetData>
    <row r="1" spans="1:11" ht="6.6" customHeight="1" x14ac:dyDescent="0.35">
      <c r="A1" s="2"/>
      <c r="B1" s="2"/>
      <c r="C1" s="2"/>
      <c r="D1" s="2"/>
      <c r="E1" s="2"/>
    </row>
    <row r="2" spans="1:11" ht="23.4" customHeight="1" x14ac:dyDescent="0.35">
      <c r="A2" s="2"/>
      <c r="B2" s="3" t="s">
        <v>43</v>
      </c>
      <c r="C2" s="2"/>
      <c r="D2" s="2"/>
      <c r="E2" s="2"/>
      <c r="G2" s="8" t="s">
        <v>34</v>
      </c>
      <c r="H2" s="1"/>
      <c r="J2" s="34" t="s">
        <v>44</v>
      </c>
      <c r="K2" s="35"/>
    </row>
    <row r="3" spans="1:11" ht="15" customHeight="1" x14ac:dyDescent="0.35">
      <c r="A3" s="2"/>
      <c r="B3" s="38" t="s">
        <v>48</v>
      </c>
      <c r="C3" s="38"/>
      <c r="D3" s="2"/>
      <c r="E3" s="2"/>
      <c r="G3" s="9" t="s">
        <v>37</v>
      </c>
      <c r="H3" s="10" t="s">
        <v>38</v>
      </c>
      <c r="J3" s="29" t="s">
        <v>47</v>
      </c>
      <c r="K3" s="29" t="s">
        <v>38</v>
      </c>
    </row>
    <row r="4" spans="1:11" ht="18" x14ac:dyDescent="0.35">
      <c r="A4" s="4" t="s">
        <v>26</v>
      </c>
      <c r="B4" s="5" t="s">
        <v>0</v>
      </c>
      <c r="C4" s="6" t="s">
        <v>1</v>
      </c>
      <c r="D4" s="6" t="s">
        <v>2</v>
      </c>
      <c r="E4" s="7" t="s">
        <v>3</v>
      </c>
      <c r="G4" s="20" t="s">
        <v>17</v>
      </c>
      <c r="H4" s="21" t="str">
        <f>LEFT(B5,3)</f>
        <v>Goo</v>
      </c>
      <c r="J4" s="30" t="s">
        <v>45</v>
      </c>
      <c r="K4" s="32">
        <f>PMT(5%/12, 60, H37)</f>
        <v>-15106.55463066626</v>
      </c>
    </row>
    <row r="5" spans="1:11" ht="14.4" x14ac:dyDescent="0.3">
      <c r="A5" s="27">
        <v>1</v>
      </c>
      <c r="B5" s="24" t="s">
        <v>6</v>
      </c>
      <c r="C5" s="16">
        <v>98</v>
      </c>
      <c r="D5" s="16">
        <v>45000</v>
      </c>
      <c r="E5" s="21">
        <v>7.43</v>
      </c>
      <c r="G5" s="20" t="s">
        <v>18</v>
      </c>
      <c r="H5" s="21" t="str">
        <f>RIGHT(B5,3)</f>
        <v>Ads</v>
      </c>
      <c r="J5" s="30" t="s">
        <v>46</v>
      </c>
      <c r="K5" s="33">
        <f>NPV(5%,Table1[Cost (₹)])</f>
        <v>407109.22546271782</v>
      </c>
    </row>
    <row r="6" spans="1:11" ht="14.4" x14ac:dyDescent="0.3">
      <c r="A6" s="27">
        <v>2</v>
      </c>
      <c r="B6" s="24" t="s">
        <v>4</v>
      </c>
      <c r="C6" s="16">
        <v>200</v>
      </c>
      <c r="D6" s="16">
        <v>22300</v>
      </c>
      <c r="E6" s="21">
        <v>8.77</v>
      </c>
      <c r="G6" s="20" t="s">
        <v>19</v>
      </c>
      <c r="H6" s="21" t="str">
        <f>MID(B5,2,3)</f>
        <v>oog</v>
      </c>
    </row>
    <row r="7" spans="1:11" ht="14.4" x14ac:dyDescent="0.3">
      <c r="A7" s="27">
        <v>3</v>
      </c>
      <c r="B7" s="24" t="s">
        <v>8</v>
      </c>
      <c r="C7" s="16">
        <v>44</v>
      </c>
      <c r="D7" s="16">
        <v>15000</v>
      </c>
      <c r="E7" s="21">
        <v>7.01</v>
      </c>
      <c r="G7" s="22" t="s">
        <v>20</v>
      </c>
      <c r="H7" s="23" t="str">
        <f>_xlfn.CONCAT(B5,C5)</f>
        <v>Google Ads98</v>
      </c>
    </row>
    <row r="8" spans="1:11" ht="14.4" x14ac:dyDescent="0.3">
      <c r="A8" s="27">
        <v>4</v>
      </c>
      <c r="B8" s="20" t="s">
        <v>7</v>
      </c>
      <c r="C8" s="16">
        <v>100</v>
      </c>
      <c r="D8" s="16">
        <v>38210</v>
      </c>
      <c r="E8" s="21">
        <v>9.11</v>
      </c>
    </row>
    <row r="9" spans="1:11" ht="15.6" x14ac:dyDescent="0.3">
      <c r="A9" s="27">
        <v>5</v>
      </c>
      <c r="B9" s="20" t="s">
        <v>6</v>
      </c>
      <c r="C9" s="16">
        <v>274</v>
      </c>
      <c r="D9" s="16">
        <v>33392</v>
      </c>
      <c r="E9" s="21">
        <v>6.55</v>
      </c>
      <c r="G9" s="11" t="s">
        <v>35</v>
      </c>
      <c r="H9" s="1"/>
    </row>
    <row r="10" spans="1:11" ht="14.4" x14ac:dyDescent="0.3">
      <c r="A10" s="27">
        <v>6</v>
      </c>
      <c r="B10" s="24" t="s">
        <v>9</v>
      </c>
      <c r="C10" s="16">
        <v>79</v>
      </c>
      <c r="D10" s="16">
        <v>15000</v>
      </c>
      <c r="E10" s="21">
        <v>7.54</v>
      </c>
      <c r="G10" s="9" t="s">
        <v>37</v>
      </c>
      <c r="H10" s="10" t="s">
        <v>38</v>
      </c>
    </row>
    <row r="11" spans="1:11" ht="14.4" x14ac:dyDescent="0.3">
      <c r="A11" s="27">
        <v>7</v>
      </c>
      <c r="B11" s="20" t="s">
        <v>5</v>
      </c>
      <c r="C11" s="16">
        <v>142</v>
      </c>
      <c r="D11" s="16">
        <v>16000</v>
      </c>
      <c r="E11" s="21">
        <v>9.23</v>
      </c>
      <c r="G11" s="24" t="s">
        <v>29</v>
      </c>
      <c r="H11" s="21">
        <f>AVERAGE(Table1[Cost (₹)])</f>
        <v>26683.566666666666</v>
      </c>
    </row>
    <row r="12" spans="1:11" ht="14.4" x14ac:dyDescent="0.3">
      <c r="A12" s="27">
        <v>8</v>
      </c>
      <c r="B12" s="20" t="s">
        <v>8</v>
      </c>
      <c r="C12" s="16">
        <v>200</v>
      </c>
      <c r="D12" s="16">
        <v>22000</v>
      </c>
      <c r="E12" s="21">
        <v>9.09</v>
      </c>
      <c r="G12" s="24" t="s">
        <v>30</v>
      </c>
      <c r="H12" s="25" t="s">
        <v>40</v>
      </c>
    </row>
    <row r="13" spans="1:11" ht="14.4" x14ac:dyDescent="0.3">
      <c r="A13" s="27">
        <v>9</v>
      </c>
      <c r="B13" s="20" t="s">
        <v>5</v>
      </c>
      <c r="C13" s="16">
        <v>55</v>
      </c>
      <c r="D13" s="16">
        <v>40541</v>
      </c>
      <c r="E13" s="21">
        <v>7.05</v>
      </c>
      <c r="G13" s="24" t="s">
        <v>31</v>
      </c>
      <c r="H13" s="36">
        <f>MEDIAN(Table1[Cost (₹)])</f>
        <v>22171</v>
      </c>
    </row>
    <row r="14" spans="1:11" ht="14.4" x14ac:dyDescent="0.3">
      <c r="A14" s="27">
        <v>10</v>
      </c>
      <c r="B14" s="20" t="s">
        <v>9</v>
      </c>
      <c r="C14" s="16">
        <v>210</v>
      </c>
      <c r="D14" s="16">
        <v>13705</v>
      </c>
      <c r="E14" s="21">
        <v>8.92</v>
      </c>
      <c r="G14" s="24" t="s">
        <v>32</v>
      </c>
      <c r="H14" s="21">
        <f>_xlfn.STDEV.P(Table1[Cost (₹)])</f>
        <v>12393.625712930911</v>
      </c>
    </row>
    <row r="15" spans="1:11" ht="14.4" x14ac:dyDescent="0.3">
      <c r="A15" s="27">
        <v>11</v>
      </c>
      <c r="B15" s="20" t="s">
        <v>6</v>
      </c>
      <c r="C15" s="16">
        <v>111</v>
      </c>
      <c r="D15" s="16">
        <v>11674</v>
      </c>
      <c r="E15" s="21">
        <v>7.93</v>
      </c>
      <c r="G15" s="26" t="s">
        <v>33</v>
      </c>
      <c r="H15" s="23">
        <f>CORREL(C:C,D:D)</f>
        <v>0.1214837939836606</v>
      </c>
    </row>
    <row r="16" spans="1:11" ht="14.4" x14ac:dyDescent="0.3">
      <c r="A16" s="27">
        <v>12</v>
      </c>
      <c r="B16" s="24" t="s">
        <v>8</v>
      </c>
      <c r="C16" s="16">
        <v>77</v>
      </c>
      <c r="D16" s="16">
        <v>10640</v>
      </c>
      <c r="E16" s="21">
        <v>5.43</v>
      </c>
    </row>
    <row r="17" spans="1:10" ht="15.6" x14ac:dyDescent="0.3">
      <c r="A17" s="27">
        <v>13</v>
      </c>
      <c r="B17" s="20" t="s">
        <v>6</v>
      </c>
      <c r="C17" s="16">
        <v>206</v>
      </c>
      <c r="D17" s="16">
        <v>44200</v>
      </c>
      <c r="E17" s="21">
        <v>7.87</v>
      </c>
      <c r="G17" s="11" t="s">
        <v>36</v>
      </c>
      <c r="H17" s="1"/>
    </row>
    <row r="18" spans="1:10" ht="14.4" x14ac:dyDescent="0.3">
      <c r="A18" s="27">
        <v>14</v>
      </c>
      <c r="B18" s="24" t="s">
        <v>7</v>
      </c>
      <c r="C18" s="16">
        <v>205</v>
      </c>
      <c r="D18" s="16">
        <v>48374</v>
      </c>
      <c r="E18" s="21">
        <v>5.77</v>
      </c>
      <c r="G18" s="9" t="s">
        <v>37</v>
      </c>
      <c r="H18" s="10" t="s">
        <v>38</v>
      </c>
    </row>
    <row r="19" spans="1:10" ht="14.4" x14ac:dyDescent="0.3">
      <c r="A19" s="27">
        <v>15</v>
      </c>
      <c r="B19" s="20" t="s">
        <v>5</v>
      </c>
      <c r="C19" s="16">
        <v>280</v>
      </c>
      <c r="D19" s="16">
        <v>20000</v>
      </c>
      <c r="E19" s="21">
        <v>7.89</v>
      </c>
      <c r="G19" s="20" t="s">
        <v>25</v>
      </c>
      <c r="H19" s="21">
        <f>VLOOKUP(A5,A5:E34,4,FALSE)</f>
        <v>45000</v>
      </c>
    </row>
    <row r="20" spans="1:10" ht="14.4" x14ac:dyDescent="0.3">
      <c r="A20" s="27">
        <v>16</v>
      </c>
      <c r="B20" s="20" t="s">
        <v>6</v>
      </c>
      <c r="C20" s="16">
        <v>181</v>
      </c>
      <c r="D20" s="16">
        <v>22042</v>
      </c>
      <c r="E20" s="21">
        <v>6.75</v>
      </c>
      <c r="G20" s="20" t="s">
        <v>27</v>
      </c>
      <c r="H20" s="21">
        <f>HLOOKUP(A5,A5:E34,4,FALSE)</f>
        <v>4</v>
      </c>
    </row>
    <row r="21" spans="1:10" ht="14.4" x14ac:dyDescent="0.3">
      <c r="A21" s="27">
        <v>17</v>
      </c>
      <c r="B21" s="20" t="s">
        <v>9</v>
      </c>
      <c r="C21" s="16">
        <v>250</v>
      </c>
      <c r="D21" s="16">
        <v>10000</v>
      </c>
      <c r="E21" s="21">
        <v>5.07</v>
      </c>
      <c r="G21" s="22" t="s">
        <v>28</v>
      </c>
      <c r="H21" s="23">
        <f>VLOOKUP(A5, A5:E34, 5,FALSE)</f>
        <v>7.43</v>
      </c>
    </row>
    <row r="22" spans="1:10" ht="14.4" x14ac:dyDescent="0.3">
      <c r="A22" s="27">
        <v>18</v>
      </c>
      <c r="B22" s="20" t="s">
        <v>7</v>
      </c>
      <c r="C22" s="16">
        <v>110</v>
      </c>
      <c r="D22" s="16">
        <v>41318</v>
      </c>
      <c r="E22" s="21">
        <v>7.65</v>
      </c>
    </row>
    <row r="23" spans="1:10" ht="15.6" x14ac:dyDescent="0.3">
      <c r="A23" s="27">
        <v>19</v>
      </c>
      <c r="B23" s="20" t="s">
        <v>4</v>
      </c>
      <c r="C23" s="16">
        <v>123</v>
      </c>
      <c r="D23" s="16">
        <v>29977</v>
      </c>
      <c r="E23" s="21">
        <v>9.65</v>
      </c>
      <c r="G23" s="12" t="s">
        <v>39</v>
      </c>
      <c r="H23" s="13"/>
    </row>
    <row r="24" spans="1:10" ht="15.75" customHeight="1" x14ac:dyDescent="0.3">
      <c r="A24" s="27">
        <v>20</v>
      </c>
      <c r="B24" s="24" t="s">
        <v>5</v>
      </c>
      <c r="C24" s="16">
        <v>87</v>
      </c>
      <c r="D24" s="16">
        <v>10078</v>
      </c>
      <c r="E24" s="21">
        <v>8.5299999999999994</v>
      </c>
      <c r="G24" s="14" t="s">
        <v>37</v>
      </c>
      <c r="H24" s="14" t="s">
        <v>38</v>
      </c>
    </row>
    <row r="25" spans="1:10" ht="15.75" customHeight="1" x14ac:dyDescent="0.3">
      <c r="A25" s="27">
        <v>21</v>
      </c>
      <c r="B25" s="20" t="s">
        <v>6</v>
      </c>
      <c r="C25" s="16">
        <v>236</v>
      </c>
      <c r="D25" s="16">
        <v>13322</v>
      </c>
      <c r="E25" s="21">
        <v>9.4600000000000009</v>
      </c>
      <c r="G25" s="16" t="s">
        <v>22</v>
      </c>
      <c r="H25" s="17">
        <f ca="1">TODAY()</f>
        <v>46075</v>
      </c>
    </row>
    <row r="26" spans="1:10" ht="15.75" customHeight="1" x14ac:dyDescent="0.3">
      <c r="A26" s="27">
        <v>22</v>
      </c>
      <c r="B26" s="20" t="s">
        <v>5</v>
      </c>
      <c r="C26" s="16">
        <v>172</v>
      </c>
      <c r="D26" s="16">
        <v>47386</v>
      </c>
      <c r="E26" s="21">
        <v>8.99</v>
      </c>
      <c r="G26" s="16" t="s">
        <v>23</v>
      </c>
      <c r="H26" s="18">
        <f ca="1">NOW()</f>
        <v>46075.757685532408</v>
      </c>
    </row>
    <row r="27" spans="1:10" ht="15.75" customHeight="1" x14ac:dyDescent="0.3">
      <c r="A27" s="27">
        <v>23</v>
      </c>
      <c r="B27" s="24" t="s">
        <v>6</v>
      </c>
      <c r="C27" s="16">
        <v>250</v>
      </c>
      <c r="D27" s="16">
        <v>34735</v>
      </c>
      <c r="E27" s="21">
        <v>7.67</v>
      </c>
      <c r="G27" s="16" t="s">
        <v>24</v>
      </c>
      <c r="H27" s="16">
        <v>30</v>
      </c>
    </row>
    <row r="28" spans="1:10" ht="15.75" customHeight="1" x14ac:dyDescent="0.3">
      <c r="A28" s="27">
        <v>24</v>
      </c>
      <c r="B28" s="20" t="s">
        <v>7</v>
      </c>
      <c r="C28" s="16">
        <v>159</v>
      </c>
      <c r="D28" s="16">
        <v>22000</v>
      </c>
      <c r="E28" s="21">
        <v>9.16</v>
      </c>
    </row>
    <row r="29" spans="1:10" ht="15.75" customHeight="1" x14ac:dyDescent="0.3">
      <c r="A29" s="27">
        <v>25</v>
      </c>
      <c r="B29" s="20" t="s">
        <v>8</v>
      </c>
      <c r="C29" s="16">
        <v>123</v>
      </c>
      <c r="D29" s="16">
        <v>17000</v>
      </c>
      <c r="E29" s="21">
        <v>8.92</v>
      </c>
      <c r="G29" s="8" t="s">
        <v>42</v>
      </c>
      <c r="H29" s="1"/>
    </row>
    <row r="30" spans="1:10" ht="15.75" customHeight="1" x14ac:dyDescent="0.3">
      <c r="A30" s="27">
        <v>26</v>
      </c>
      <c r="B30" s="24" t="s">
        <v>7</v>
      </c>
      <c r="C30" s="16">
        <v>265</v>
      </c>
      <c r="D30" s="16">
        <v>36000</v>
      </c>
      <c r="E30" s="21">
        <v>6.4</v>
      </c>
      <c r="G30" s="15" t="s">
        <v>37</v>
      </c>
      <c r="H30" s="15" t="s">
        <v>38</v>
      </c>
    </row>
    <row r="31" spans="1:10" ht="15.75" customHeight="1" x14ac:dyDescent="0.3">
      <c r="A31" s="27">
        <v>27</v>
      </c>
      <c r="B31" s="20" t="s">
        <v>7</v>
      </c>
      <c r="C31" s="16">
        <v>97</v>
      </c>
      <c r="D31" s="16">
        <v>19741</v>
      </c>
      <c r="E31" s="21">
        <v>5.03</v>
      </c>
      <c r="G31" s="16" t="s">
        <v>16</v>
      </c>
      <c r="H31" s="16" t="str">
        <f>IF(D5&gt;40000,"MAXIMUM")</f>
        <v>MAXIMUM</v>
      </c>
    </row>
    <row r="32" spans="1:10" ht="15.75" customHeight="1" x14ac:dyDescent="0.3">
      <c r="A32" s="27">
        <v>28</v>
      </c>
      <c r="B32" s="20" t="s">
        <v>7</v>
      </c>
      <c r="C32" s="16">
        <v>297</v>
      </c>
      <c r="D32" s="16">
        <v>24582</v>
      </c>
      <c r="E32" s="21">
        <v>7.08</v>
      </c>
      <c r="G32" s="16" t="s">
        <v>14</v>
      </c>
      <c r="H32" s="16" t="b">
        <f>OR(D5&gt;50000,"TURE")</f>
        <v>0</v>
      </c>
      <c r="J32" s="31"/>
    </row>
    <row r="33" spans="1:8" ht="15.75" customHeight="1" x14ac:dyDescent="0.3">
      <c r="A33" s="27">
        <v>29</v>
      </c>
      <c r="B33" s="20" t="s">
        <v>6</v>
      </c>
      <c r="C33" s="16">
        <v>157</v>
      </c>
      <c r="D33" s="16">
        <v>40473</v>
      </c>
      <c r="E33" s="21">
        <v>6.05</v>
      </c>
      <c r="G33" s="19" t="s">
        <v>15</v>
      </c>
      <c r="H33" s="19" t="b">
        <f>AND(D5&gt;50000,"TURE")</f>
        <v>0</v>
      </c>
    </row>
    <row r="34" spans="1:8" ht="15.75" customHeight="1" x14ac:dyDescent="0.3">
      <c r="A34" s="28">
        <v>30</v>
      </c>
      <c r="B34" s="22" t="s">
        <v>6</v>
      </c>
      <c r="C34" s="19">
        <v>290</v>
      </c>
      <c r="D34" s="19">
        <v>35817</v>
      </c>
      <c r="E34" s="23">
        <v>8.4499999999999993</v>
      </c>
    </row>
    <row r="35" spans="1:8" ht="15.75" customHeight="1" x14ac:dyDescent="0.3">
      <c r="G35" s="11" t="s">
        <v>41</v>
      </c>
      <c r="H35" s="1"/>
    </row>
    <row r="36" spans="1:8" ht="15.75" customHeight="1" x14ac:dyDescent="0.3">
      <c r="G36" s="9" t="s">
        <v>37</v>
      </c>
      <c r="H36" s="10" t="s">
        <v>38</v>
      </c>
    </row>
    <row r="37" spans="1:8" ht="15.75" customHeight="1" x14ac:dyDescent="0.3">
      <c r="G37" s="20" t="s">
        <v>10</v>
      </c>
      <c r="H37" s="21">
        <f>SUM(D5:D34)</f>
        <v>800507</v>
      </c>
    </row>
    <row r="38" spans="1:8" ht="15.75" customHeight="1" x14ac:dyDescent="0.3">
      <c r="G38" s="20" t="s">
        <v>11</v>
      </c>
      <c r="H38" s="21">
        <f>AVERAGE(Table1[Cost (₹)])</f>
        <v>26683.566666666666</v>
      </c>
    </row>
    <row r="39" spans="1:8" ht="15.75" customHeight="1" x14ac:dyDescent="0.3">
      <c r="G39" s="20" t="s">
        <v>21</v>
      </c>
      <c r="H39" s="21">
        <f>MIN(Table1[Cost (₹)])</f>
        <v>10000</v>
      </c>
    </row>
    <row r="40" spans="1:8" ht="15.75" customHeight="1" x14ac:dyDescent="0.3">
      <c r="G40" s="20" t="s">
        <v>12</v>
      </c>
      <c r="H40" s="21">
        <f>MAX(Table1[Cost (₹)])</f>
        <v>48374</v>
      </c>
    </row>
    <row r="41" spans="1:8" ht="15.75" customHeight="1" x14ac:dyDescent="0.3">
      <c r="G41" s="22" t="s">
        <v>13</v>
      </c>
      <c r="H41" s="37">
        <f>COUNT(Table2[SR.NO])</f>
        <v>30</v>
      </c>
    </row>
    <row r="42" spans="1:8" ht="15.75" customHeight="1" x14ac:dyDescent="0.3"/>
    <row r="43" spans="1:8" ht="15.75" customHeight="1" x14ac:dyDescent="0.3"/>
    <row r="44" spans="1:8" ht="15.75" customHeight="1" x14ac:dyDescent="0.3"/>
    <row r="45" spans="1:8" ht="15.75" customHeight="1" x14ac:dyDescent="0.3"/>
    <row r="46" spans="1:8" ht="15.75" customHeight="1" x14ac:dyDescent="0.3"/>
    <row r="47" spans="1:8" ht="15.75" customHeight="1" x14ac:dyDescent="0.3"/>
    <row r="48" spans="1: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</sheetData>
  <mergeCells count="2">
    <mergeCell ref="J2:K2"/>
    <mergeCell ref="B3:C3"/>
  </mergeCells>
  <pageMargins left="0.75" right="0.75" top="1" bottom="1" header="0" footer="0"/>
  <pageSetup orientation="landscape" r:id="rId1"/>
  <drawing r:id="rId2"/>
  <tableParts count="8"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2026-02-15T13:56:26Z</dcterms:created>
  <dcterms:modified xsi:type="dcterms:W3CDTF">2026-02-22T12:41:36Z</dcterms:modified>
</cp:coreProperties>
</file>