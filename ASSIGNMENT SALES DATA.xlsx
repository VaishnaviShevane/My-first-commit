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8274CA7-0870-42AB-AE3D-F84094D11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chart.v1.0" hidden="1">SALES!$I$4</definedName>
    <definedName name="_xlchart.v1.1" hidden="1">SALES!$I$5:$I$36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1" l="1"/>
  <c r="O21" i="1"/>
  <c r="L34" i="1"/>
  <c r="L33" i="1"/>
  <c r="L32" i="1"/>
  <c r="L31" i="1"/>
  <c r="I5" i="1"/>
  <c r="L27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L1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G5" i="1"/>
  <c r="L5" i="1" s="1"/>
  <c r="G6" i="1"/>
  <c r="L6" i="1" s="1"/>
  <c r="G7" i="1"/>
  <c r="L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O8" i="1" l="1"/>
  <c r="O4" i="1"/>
  <c r="O13" i="1"/>
  <c r="O5" i="1"/>
  <c r="O15" i="1"/>
  <c r="O6" i="1"/>
  <c r="O16" i="1"/>
  <c r="O17" i="1"/>
  <c r="O7" i="1"/>
  <c r="L26" i="1"/>
</calcChain>
</file>

<file path=xl/sharedStrings.xml><?xml version="1.0" encoding="utf-8"?>
<sst xmlns="http://schemas.openxmlformats.org/spreadsheetml/2006/main" count="136" uniqueCount="81">
  <si>
    <t>Date</t>
  </si>
  <si>
    <t>Region</t>
  </si>
  <si>
    <t>Product</t>
  </si>
  <si>
    <t>Profit</t>
  </si>
  <si>
    <t>North</t>
  </si>
  <si>
    <t>Headphones</t>
  </si>
  <si>
    <t>East</t>
  </si>
  <si>
    <t>Laptop</t>
  </si>
  <si>
    <t>West</t>
  </si>
  <si>
    <t>Mobile</t>
  </si>
  <si>
    <t>Smart Watch</t>
  </si>
  <si>
    <t>South</t>
  </si>
  <si>
    <t>13/1/2026</t>
  </si>
  <si>
    <t>14/1/2026</t>
  </si>
  <si>
    <t>15/1/2026</t>
  </si>
  <si>
    <t>16/1/2026</t>
  </si>
  <si>
    <t>17/1/2026</t>
  </si>
  <si>
    <t>20/1/2026</t>
  </si>
  <si>
    <t>21/1/2026</t>
  </si>
  <si>
    <t>22/1/2026</t>
  </si>
  <si>
    <t>23/1/2026</t>
  </si>
  <si>
    <t>25/1/2026</t>
  </si>
  <si>
    <t>26/1/2026</t>
  </si>
  <si>
    <t>27/1/2026</t>
  </si>
  <si>
    <t>28/1/2026</t>
  </si>
  <si>
    <t>29/1/2026</t>
  </si>
  <si>
    <t>30/1/2026</t>
  </si>
  <si>
    <t>AVERAGE()</t>
  </si>
  <si>
    <t>MIN()</t>
  </si>
  <si>
    <t>MAX()</t>
  </si>
  <si>
    <t>COUNT()</t>
  </si>
  <si>
    <t>Column1</t>
  </si>
  <si>
    <t>19/1/2026</t>
  </si>
  <si>
    <t>TODAY()</t>
  </si>
  <si>
    <t>NOW()</t>
  </si>
  <si>
    <t>Column2</t>
  </si>
  <si>
    <t>Quantity</t>
  </si>
  <si>
    <t>Unit Price</t>
  </si>
  <si>
    <t xml:space="preserve"> Sale Amount</t>
  </si>
  <si>
    <t>Cost Unit</t>
  </si>
  <si>
    <t>MEAN()</t>
  </si>
  <si>
    <t>MODE()</t>
  </si>
  <si>
    <t>STANDARD DEVIATION()</t>
  </si>
  <si>
    <t>DETEDIF()</t>
  </si>
  <si>
    <t>Row Labels</t>
  </si>
  <si>
    <t>Grand Total</t>
  </si>
  <si>
    <t>REVENUE</t>
  </si>
  <si>
    <t>VLOOKUP()</t>
  </si>
  <si>
    <t>HLOOKUP()</t>
  </si>
  <si>
    <t>XLOOKUP()</t>
  </si>
  <si>
    <t>24/1/2026</t>
  </si>
  <si>
    <t>18/1/2026</t>
  </si>
  <si>
    <t>Sum of  Sale Amount</t>
  </si>
  <si>
    <t>IF()</t>
  </si>
  <si>
    <t>AND()</t>
  </si>
  <si>
    <t>OR()</t>
  </si>
  <si>
    <t>MIXIMUM</t>
  </si>
  <si>
    <t>LEFT()</t>
  </si>
  <si>
    <t>RIGHT()</t>
  </si>
  <si>
    <t>MID()</t>
  </si>
  <si>
    <t>CONCAT()</t>
  </si>
  <si>
    <t>REGION</t>
  </si>
  <si>
    <r>
      <t xml:space="preserve">                 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DATE FUCTION</t>
    </r>
  </si>
  <si>
    <r>
      <t xml:space="preserve">         </t>
    </r>
    <r>
      <rPr>
        <b/>
        <sz val="14"/>
        <color theme="1"/>
        <rFont val="Calibri"/>
        <family val="2"/>
        <scheme val="minor"/>
      </rPr>
      <t>Mathematical Function</t>
    </r>
  </si>
  <si>
    <r>
      <t xml:space="preserve">              </t>
    </r>
    <r>
      <rPr>
        <b/>
        <sz val="14"/>
        <color theme="1"/>
        <rFont val="Calibri"/>
        <family val="2"/>
        <scheme val="minor"/>
      </rPr>
      <t xml:space="preserve"> LOOKUP FUNCTION</t>
    </r>
  </si>
  <si>
    <r>
      <t xml:space="preserve">                      </t>
    </r>
    <r>
      <rPr>
        <b/>
        <sz val="14"/>
        <rFont val="Calibri"/>
        <family val="2"/>
        <scheme val="minor"/>
      </rPr>
      <t xml:space="preserve">  TEXT FUNCTION</t>
    </r>
  </si>
  <si>
    <r>
      <t xml:space="preserve">                          </t>
    </r>
    <r>
      <rPr>
        <b/>
        <sz val="14"/>
        <rFont val="Calibri"/>
        <family val="2"/>
        <scheme val="minor"/>
      </rPr>
      <t>STATISTICAL FUNCTION</t>
    </r>
  </si>
  <si>
    <r>
      <t xml:space="preserve">                      </t>
    </r>
    <r>
      <rPr>
        <b/>
        <sz val="14"/>
        <rFont val="Calibri"/>
        <family val="2"/>
        <scheme val="minor"/>
      </rPr>
      <t xml:space="preserve"> PIVOT TABLE</t>
    </r>
  </si>
  <si>
    <t xml:space="preserve">          LOGICAL FUNCTION</t>
  </si>
  <si>
    <t>sum()</t>
  </si>
  <si>
    <t>NO</t>
  </si>
  <si>
    <t>MEDIAN()</t>
  </si>
  <si>
    <t>Correlation ()</t>
  </si>
  <si>
    <t>Camera</t>
  </si>
  <si>
    <t>Television</t>
  </si>
  <si>
    <t>Financial Functions</t>
  </si>
  <si>
    <t>PMT</t>
  </si>
  <si>
    <t>NPV</t>
  </si>
  <si>
    <t>Excel &amp; Advanced Excel Applications in Business Analytics</t>
  </si>
  <si>
    <t>Daily Sales Report</t>
  </si>
  <si>
    <t>1/0/1900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</si>
</sst>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9" tint="0.59999389629810485"/>
      </patternFill>
    </fill>
    <fill>
      <patternFill patternType="solid">
        <fgColor theme="4" tint="0.39997558519241921"/>
        <bgColor theme="9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1" xfId="0" applyBorder="1" applyAlignment="1">
      <alignment horizontal="left"/>
    </xf>
    <xf numFmtId="0" fontId="0" fillId="0" borderId="10" xfId="0" applyBorder="1"/>
    <xf numFmtId="0" fontId="0" fillId="0" borderId="3" xfId="0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0" xfId="0" applyFill="1"/>
    <xf numFmtId="0" fontId="4" fillId="2" borderId="0" xfId="0" applyFont="1" applyFill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0" fontId="8" fillId="4" borderId="6" xfId="0" applyFont="1" applyFill="1" applyBorder="1" applyAlignment="1">
      <alignment horizontal="center"/>
    </xf>
    <xf numFmtId="0" fontId="0" fillId="3" borderId="13" xfId="0" applyFill="1" applyBorder="1"/>
    <xf numFmtId="0" fontId="8" fillId="5" borderId="6" xfId="0" applyFont="1" applyFill="1" applyBorder="1" applyAlignment="1">
      <alignment horizontal="center"/>
    </xf>
    <xf numFmtId="0" fontId="0" fillId="3" borderId="12" xfId="0" applyFill="1" applyBorder="1"/>
    <xf numFmtId="0" fontId="8" fillId="4" borderId="1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2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4" xfId="0" applyFont="1" applyFill="1" applyBorder="1"/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3" borderId="1" xfId="0" applyNumberFormat="1" applyFill="1" applyBorder="1"/>
    <xf numFmtId="0" fontId="4" fillId="2" borderId="0" xfId="0" applyFont="1" applyFill="1" applyAlignment="1">
      <alignment horizontal="center"/>
    </xf>
    <xf numFmtId="0" fontId="12" fillId="2" borderId="0" xfId="0" applyFont="1" applyFill="1"/>
  </cellXfs>
  <cellStyles count="1">
    <cellStyle name="Normal" xfId="0" builtinId="0"/>
  </cellStyles>
  <dxfs count="59"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border>
        <bottom style="thin">
          <color indexed="64"/>
        </bottom>
      </border>
    </dxf>
    <dxf>
      <fill>
        <patternFill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0" formatCode="General"/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9" defaultPivotStyle="PivotStyleLight16">
    <tableStyle name="PivotTable Style 1" table="0" count="0" xr9:uid="{6AFB7CE1-CE86-4F44-8020-7ABADBA096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solidFill>
          <a:srgbClr val="0070C0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7EA-4EE9-B08D-F60035A209A8}"/>
              </c:ext>
            </c:extLst>
          </c:dPt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358035</c:v>
              </c:pt>
            </c:numLit>
          </c:val>
          <c:extLst>
            <c:ext xmlns:c16="http://schemas.microsoft.com/office/drawing/2014/chart" uri="{C3380CC4-5D6E-409C-BE32-E72D297353CC}">
              <c16:uniqueId val="{00000002-87EA-4EE9-B08D-F60035A20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5588624"/>
        <c:axId val="2036786384"/>
        <c:axId val="0"/>
      </c:bar3DChart>
      <c:catAx>
        <c:axId val="159558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786384"/>
        <c:crosses val="autoZero"/>
        <c:auto val="1"/>
        <c:lblAlgn val="ctr"/>
        <c:lblOffset val="100"/>
        <c:noMultiLvlLbl val="0"/>
      </c:catAx>
      <c:valAx>
        <c:axId val="203678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distribution</a:t>
            </a:r>
            <a:endParaRPr lang="en-US"/>
          </a:p>
        </c:rich>
      </c:tx>
      <c:layout>
        <c:manualLayout>
          <c:xMode val="edge"/>
          <c:yMode val="edge"/>
          <c:x val="0.22937343554784986"/>
          <c:y val="4.09011486283915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2.7108486439195102E-2"/>
              <c:y val="-3.1116214639836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1.0834864391950904E-2"/>
              <c:y val="-1.128827646544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1.5885389326334209E-2"/>
              <c:y val="-1.87962962962964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0.12027384076990379"/>
              <c:y val="-3.53003791192767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1.6952974628171479E-2"/>
              <c:y val="-9.83333333333333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4E9-4C0E-A54F-4BCF7F11C5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4E9-4C0E-A54F-4BCF7F11C5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4E9-4C0E-A54F-4BCF7F11C55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4E9-4C0E-A54F-4BCF7F11C55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84E9-4C0E-A54F-4BCF7F11C552}"/>
              </c:ext>
            </c:extLst>
          </c:dPt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Mobile</c:v>
              </c:pt>
              <c:pt idx="3">
                <c:v>Smart 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7</c:v>
              </c:pt>
              <c:pt idx="1">
                <c:v>6</c:v>
              </c:pt>
              <c:pt idx="2">
                <c:v>4</c:v>
              </c:pt>
              <c:pt idx="3">
                <c:v>8</c:v>
              </c:pt>
              <c:pt idx="4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A-84E9-4C0E-A54F-4BCF7F11C5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</a:rPr>
            <a:t>Revenue</a:t>
          </a:r>
        </a:p>
      </cx:txPr>
    </cx:title>
    <cx:plotArea>
      <cx:plotAreaRegion>
        <cx:series layoutId="clusteredColumn" uniqueId="{0087767E-74A6-41B1-B3DC-27C7E34546CE}">
          <cx:tx>
            <cx:txData>
              <cx:f>_xlchart.v1.0</cx:f>
              <cx:v>REVENUE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727C8937-7724-4571-9AA4-E21F54D315D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solidFill>
      <a:srgbClr val="002060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62754</xdr:colOff>
      <xdr:row>35</xdr:row>
      <xdr:rowOff>170329</xdr:rowOff>
    </xdr:from>
    <xdr:to>
      <xdr:col>4</xdr:col>
      <xdr:colOff>663389</xdr:colOff>
      <xdr:row>55</xdr:row>
      <xdr:rowOff>71716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683EE-EA29-4C37-97CE-F1B785129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403412</xdr:colOff>
      <xdr:row>36</xdr:row>
      <xdr:rowOff>8966</xdr:rowOff>
    </xdr:from>
    <xdr:to>
      <xdr:col>15</xdr:col>
      <xdr:colOff>815788</xdr:colOff>
      <xdr:row>55</xdr:row>
      <xdr:rowOff>17929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BDBC8F-3FE0-49B4-8E61-7FDA3EC26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1030941</xdr:colOff>
      <xdr:row>36</xdr:row>
      <xdr:rowOff>17931</xdr:rowOff>
    </xdr:from>
    <xdr:to>
      <xdr:col>9</xdr:col>
      <xdr:colOff>322728</xdr:colOff>
      <xdr:row>54</xdr:row>
      <xdr:rowOff>170331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B108AF8-469F-434E-96D1-F52E70F0D1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5761" y="7363611"/>
              <a:ext cx="5425887" cy="3444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8.426300231484" createdVersion="7" refreshedVersion="7" minRefreshableVersion="3" recordCount="30" xr:uid="{5100AE84-65E3-4ABD-963B-2F68A9FB7971}">
  <cacheSource type="worksheet">
    <worksheetSource ref="A4:I34" sheet="SALES"/>
  </cacheSource>
  <cacheFields count="10">
    <cacheField name="ROLL NO" numFmtId="0">
      <sharedItems containsSemiMixedTypes="0" containsString="0" containsNumber="1" containsInteger="1" minValue="1" maxValue="30"/>
    </cacheField>
    <cacheField name="Date" numFmtId="0">
      <sharedItems containsDate="1" containsMixedTypes="1" minDate="2026-01-01T00:00:00" maxDate="2026-12-02T00:00:00"/>
    </cacheField>
    <cacheField name="Region" numFmtId="0">
      <sharedItems count="4">
        <s v="North"/>
        <s v="East"/>
        <s v="West"/>
        <s v="South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0" maxValue="60"/>
    </cacheField>
    <cacheField name="Unit Price" numFmtId="0">
      <sharedItems containsSemiMixedTypes="0" containsString="0" containsNumber="1" containsInteger="1" minValue="100" maxValue="963"/>
    </cacheField>
    <cacheField name="Cost Unit" numFmtId="0">
      <sharedItems containsSemiMixedTypes="0" containsString="0" containsNumber="1" containsInteger="1" minValue="80" maxValue="900"/>
    </cacheField>
    <cacheField name=" Sale Amount" numFmtId="0">
      <sharedItems containsSemiMixedTypes="0" containsString="0" containsNumber="1" containsInteger="1" minValue="3000" maxValue="27350"/>
    </cacheField>
    <cacheField name="Profit" numFmtId="0">
      <sharedItems containsSemiMixedTypes="0" containsString="0" containsNumber="1" containsInteger="1" minValue="280" maxValue="56700"/>
    </cacheField>
    <cacheField name="REVENUE" numFmtId="0">
      <sharedItems containsSemiMixedTypes="0" containsString="0" containsNumber="1" containsInteger="1" minValue="3000" maxValue="27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d v="2026-01-01T00:00:00"/>
    <x v="0"/>
    <s v="Headphones"/>
    <n v="30"/>
    <n v="500"/>
    <n v="350"/>
    <n v="15000"/>
    <n v="52500"/>
    <n v="15000"/>
  </r>
  <r>
    <n v="2"/>
    <d v="2026-02-01T00:00:00"/>
    <x v="1"/>
    <s v="Laptop"/>
    <n v="25"/>
    <n v="350"/>
    <n v="200"/>
    <n v="8750"/>
    <n v="30000"/>
    <n v="8750"/>
  </r>
  <r>
    <n v="3"/>
    <d v="2026-03-01T00:00:00"/>
    <x v="2"/>
    <s v="Mobile"/>
    <n v="20"/>
    <n v="400"/>
    <n v="350"/>
    <n v="8000"/>
    <n v="17500"/>
    <n v="8000"/>
  </r>
  <r>
    <n v="4"/>
    <d v="2026-04-01T00:00:00"/>
    <x v="1"/>
    <s v="Smart Watch"/>
    <n v="25"/>
    <n v="450"/>
    <n v="300"/>
    <n v="11250"/>
    <n v="45000"/>
    <n v="11250"/>
  </r>
  <r>
    <n v="5"/>
    <d v="2026-05-01T00:00:00"/>
    <x v="1"/>
    <s v="Smart Watch"/>
    <n v="30"/>
    <n v="300"/>
    <n v="150"/>
    <n v="9000"/>
    <n v="22500"/>
    <n v="9000"/>
  </r>
  <r>
    <n v="6"/>
    <d v="2026-06-01T00:00:00"/>
    <x v="3"/>
    <s v="Laptop"/>
    <n v="26"/>
    <n v="200"/>
    <n v="100"/>
    <n v="5200"/>
    <n v="10000"/>
    <n v="5200"/>
  </r>
  <r>
    <n v="7"/>
    <d v="2026-07-01T00:00:00"/>
    <x v="0"/>
    <s v="Tablet"/>
    <n v="30"/>
    <n v="100"/>
    <n v="80"/>
    <n v="3000"/>
    <n v="1600"/>
    <n v="3000"/>
  </r>
  <r>
    <n v="8"/>
    <d v="2026-08-01T00:00:00"/>
    <x v="3"/>
    <s v="Headphones"/>
    <n v="15"/>
    <n v="450"/>
    <n v="300"/>
    <n v="6750"/>
    <n v="45000"/>
    <n v="6750"/>
  </r>
  <r>
    <n v="9"/>
    <d v="2026-09-01T00:00:00"/>
    <x v="0"/>
    <s v="Headphones"/>
    <n v="20"/>
    <n v="600"/>
    <n v="500"/>
    <n v="12000"/>
    <n v="50000"/>
    <n v="12000"/>
  </r>
  <r>
    <n v="10"/>
    <d v="2026-10-01T00:00:00"/>
    <x v="3"/>
    <s v="Headphones"/>
    <n v="30"/>
    <n v="250"/>
    <n v="200"/>
    <n v="7500"/>
    <n v="10000"/>
    <n v="7500"/>
  </r>
  <r>
    <n v="11"/>
    <d v="2026-11-01T00:00:00"/>
    <x v="3"/>
    <s v="Laptop"/>
    <n v="35"/>
    <n v="200"/>
    <n v="180"/>
    <n v="7000"/>
    <n v="3600"/>
    <n v="7000"/>
  </r>
  <r>
    <n v="12"/>
    <d v="2026-12-01T00:00:00"/>
    <x v="1"/>
    <s v="Tablet"/>
    <n v="40"/>
    <n v="300"/>
    <n v="150"/>
    <n v="12000"/>
    <n v="22500"/>
    <n v="12000"/>
  </r>
  <r>
    <n v="13"/>
    <s v="13/1/2026"/>
    <x v="1"/>
    <s v="Laptop"/>
    <n v="50"/>
    <n v="150"/>
    <n v="140"/>
    <n v="7500"/>
    <n v="1400"/>
    <n v="7500"/>
  </r>
  <r>
    <n v="14"/>
    <s v="14/1/2026"/>
    <x v="3"/>
    <s v="Smart Watch"/>
    <n v="60"/>
    <n v="400"/>
    <n v="320"/>
    <n v="24000"/>
    <n v="25600"/>
    <n v="24000"/>
  </r>
  <r>
    <n v="15"/>
    <s v="15/1/2026"/>
    <x v="0"/>
    <s v="Smart Watch"/>
    <n v="24"/>
    <n v="500"/>
    <n v="450"/>
    <n v="12000"/>
    <n v="22500"/>
    <n v="12000"/>
  </r>
  <r>
    <n v="16"/>
    <s v="16/1/2026"/>
    <x v="1"/>
    <s v="Smart Watch"/>
    <n v="25"/>
    <n v="600"/>
    <n v="550"/>
    <n v="15000"/>
    <n v="27500"/>
    <n v="15000"/>
  </r>
  <r>
    <n v="17"/>
    <s v="17/1/2026"/>
    <x v="3"/>
    <s v="Mobile"/>
    <n v="30"/>
    <n v="350"/>
    <n v="300"/>
    <n v="10500"/>
    <n v="15000"/>
    <n v="10500"/>
  </r>
  <r>
    <n v="18"/>
    <s v="18/1/2026"/>
    <x v="2"/>
    <s v="Tablet"/>
    <n v="40"/>
    <n v="245"/>
    <n v="220"/>
    <n v="9800"/>
    <n v="5500"/>
    <n v="9800"/>
  </r>
  <r>
    <n v="19"/>
    <s v="19/1/2026"/>
    <x v="3"/>
    <s v="Laptop"/>
    <n v="45"/>
    <n v="365"/>
    <n v="350"/>
    <n v="16425"/>
    <n v="5250"/>
    <n v="16425"/>
  </r>
  <r>
    <n v="20"/>
    <s v="20/1/2026"/>
    <x v="2"/>
    <s v="Mobile"/>
    <n v="35"/>
    <n v="245"/>
    <n v="240"/>
    <n v="8575"/>
    <n v="1200"/>
    <n v="8575"/>
  </r>
  <r>
    <n v="21"/>
    <s v="21/1/2026"/>
    <x v="3"/>
    <s v="Tablet"/>
    <n v="50"/>
    <n v="142"/>
    <n v="140"/>
    <n v="7100"/>
    <n v="280"/>
    <n v="7100"/>
  </r>
  <r>
    <n v="22"/>
    <s v="22/1/2026"/>
    <x v="1"/>
    <s v="Tablet"/>
    <n v="40"/>
    <n v="356"/>
    <n v="350"/>
    <n v="14240"/>
    <n v="2100"/>
    <n v="14240"/>
  </r>
  <r>
    <n v="23"/>
    <s v="23/1/2026"/>
    <x v="1"/>
    <s v="Smart Watch"/>
    <n v="30"/>
    <n v="255"/>
    <n v="200"/>
    <n v="7650"/>
    <n v="11000"/>
    <n v="7650"/>
  </r>
  <r>
    <n v="24"/>
    <s v="24/1/2026"/>
    <x v="0"/>
    <s v="Smart Watch"/>
    <n v="35"/>
    <n v="145"/>
    <n v="140"/>
    <n v="5075"/>
    <n v="700"/>
    <n v="5075"/>
  </r>
  <r>
    <n v="25"/>
    <s v="25/1/2026"/>
    <x v="0"/>
    <s v="Headphones"/>
    <n v="40"/>
    <n v="365"/>
    <n v="300"/>
    <n v="14600"/>
    <n v="19500"/>
    <n v="14600"/>
  </r>
  <r>
    <n v="26"/>
    <s v="26/1/2026"/>
    <x v="0"/>
    <s v="Headphones"/>
    <n v="40"/>
    <n v="569"/>
    <n v="500"/>
    <n v="22760"/>
    <n v="34500"/>
    <n v="22760"/>
  </r>
  <r>
    <n v="27"/>
    <s v="27/1/2026"/>
    <x v="2"/>
    <s v="Smart Watch"/>
    <n v="50"/>
    <n v="547"/>
    <n v="500"/>
    <n v="27350"/>
    <n v="23500"/>
    <n v="27350"/>
  </r>
  <r>
    <n v="28"/>
    <s v="28/1/2026"/>
    <x v="0"/>
    <s v="Laptop"/>
    <n v="30"/>
    <n v="852"/>
    <n v="800"/>
    <n v="25560"/>
    <n v="41600"/>
    <n v="25560"/>
  </r>
  <r>
    <n v="29"/>
    <s v="29/1/2026"/>
    <x v="1"/>
    <s v="Mobile"/>
    <n v="10"/>
    <n v="963"/>
    <n v="900"/>
    <n v="9630"/>
    <n v="56700"/>
    <n v="9630"/>
  </r>
  <r>
    <n v="30"/>
    <s v="30/1/2026"/>
    <x v="2"/>
    <s v="Headphones"/>
    <n v="20"/>
    <n v="741"/>
    <n v="700"/>
    <n v="14820"/>
    <n v="28700"/>
    <n v="148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A481D-B724-474E-8E03-E529D414197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16:L21" firstHeaderRow="1" firstDataRow="1" firstDataCol="1"/>
  <pivotFields count="10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 Sale Amount" fld="7" baseField="2" baseItem="0"/>
  </dataFields>
  <formats count="8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2" type="button" dataOnly="0" labelOnly="1" outline="0" axis="axisRow" fieldPosition="0"/>
    </format>
    <format dxfId="55">
      <pivotArea dataOnly="0" labelOnly="1" fieldPosition="0">
        <references count="1">
          <reference field="2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field="2" type="button" dataOnly="0" labelOnly="1" outline="0" axis="axisRow" fieldPosition="0"/>
    </format>
    <format dxfId="51">
      <pivotArea dataOnly="0" labelOnly="1" outline="0" axis="axisValues" fieldPosition="0"/>
    </format>
  </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41188-2929-434A-924D-9AC793FAD30E}" name="Table1" displayName="Table1" ref="A4:I34" totalsRowShown="0" headerRowDxfId="50" dataDxfId="48" headerRowBorderDxfId="49" tableBorderDxfId="47" totalsRowBorderDxfId="46">
  <autoFilter ref="A4:I34" xr:uid="{B6041188-2929-434A-924D-9AC793FAD3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29D7757-59D2-4248-9D2E-37433E553B75}" name="Date" dataDxfId="45"/>
    <tableColumn id="2" xr3:uid="{7B4394D8-8613-4EC8-B911-EA70F3D83A3D}" name="Region" dataDxfId="44"/>
    <tableColumn id="3" xr3:uid="{D2130896-C854-4177-ABDB-DEAFBCE5E966}" name="Product" dataDxfId="43"/>
    <tableColumn id="8" xr3:uid="{931DB97B-7EAC-4FBE-ABCF-D4412B8FE31E}" name="Quantity" dataDxfId="42"/>
    <tableColumn id="9" xr3:uid="{EB61C77D-62A0-4F10-A2B2-CB7EAD7CD6A5}" name="Unit Price" dataDxfId="41"/>
    <tableColumn id="11" xr3:uid="{0A04F3C1-8A86-4521-94D4-EEF01F5B8E47}" name="Cost Unit" dataDxfId="40"/>
    <tableColumn id="10" xr3:uid="{8D1ACF45-81A0-4D58-82D2-3A6624BF2667}" name=" Sale Amount" dataDxfId="39">
      <calculatedColumnFormula>SUM(Table1[[#This Row],[Quantity]]*Table1[[#This Row],[Unit Price]])</calculatedColumnFormula>
    </tableColumn>
    <tableColumn id="12" xr3:uid="{03A71254-E68A-4A73-8EB8-28F0D692CCF7}" name="Profit" dataDxfId="38">
      <calculatedColumnFormula>(E5-F5)*F5</calculatedColumnFormula>
    </tableColumn>
    <tableColumn id="15" xr3:uid="{61866A26-F484-417E-886B-03526D3CC113}" name="REVENUE" dataDxfId="37">
      <calculatedColumnFormula>(Table1[[#This Row],[Quantity]]*Table1[[#This Row],[Unit Price]])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CCB3D9-8AFC-4C6F-96C1-5211A0640C43}" name="Table4" displayName="Table4" ref="K11:L13" totalsRowShown="0" headerRowDxfId="36" dataDxfId="34" headerRowBorderDxfId="35" tableBorderDxfId="33" totalsRowBorderDxfId="32">
  <autoFilter ref="K11:L13" xr:uid="{37CCB3D9-8AFC-4C6F-96C1-5211A0640C43}">
    <filterColumn colId="0" hiddenButton="1"/>
    <filterColumn colId="1" hiddenButton="1"/>
  </autoFilter>
  <tableColumns count="2">
    <tableColumn id="1" xr3:uid="{BC442C8F-14EA-4014-ABD5-7BA64857E677}" name="TODAY()" dataDxfId="31"/>
    <tableColumn id="2" xr3:uid="{9AC66D77-FD5D-44B8-9D9D-2C9BD1F5CADC}" name="1/0/1900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492D13-CCD8-4589-97AE-A84FA628CF22}" name="Table6" displayName="Table6" ref="K4:L7" totalsRowShown="0" headerRowDxfId="29" dataDxfId="27" headerRowBorderDxfId="28" tableBorderDxfId="26" totalsRowBorderDxfId="25">
  <autoFilter ref="K4:L7" xr:uid="{C1492D13-CCD8-4589-97AE-A84FA628CF22}">
    <filterColumn colId="0" hiddenButton="1"/>
    <filterColumn colId="1" hiddenButton="1"/>
  </autoFilter>
  <tableColumns count="2">
    <tableColumn id="1" xr3:uid="{3B0F2C2B-0CB0-4CE7-A33A-64007021FCB2}" name="Column1" dataDxfId="24"/>
    <tableColumn id="2" xr3:uid="{510FF0B8-FB12-4DA9-9C70-02776FC5986A}" name="Column2" dataDxfId="23">
      <calculatedColumnFormula>VLOOKUP(A5, A3:I34, 7,FALSE)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F699D4-F53B-457B-822E-2F2DAF1E2F9A}" name="Table8" displayName="Table8" ref="K25:L27" totalsRowShown="0" headerRowDxfId="22" dataDxfId="21">
  <autoFilter ref="K25:L27" xr:uid="{F0F699D4-F53B-457B-822E-2F2DAF1E2F9A}">
    <filterColumn colId="0" hiddenButton="1"/>
    <filterColumn colId="1" hiddenButton="1"/>
  </autoFilter>
  <tableColumns count="2">
    <tableColumn id="1" xr3:uid="{D688C58A-31A7-4371-82EF-C049D2E8D464}" name="IF()" dataDxfId="20"/>
    <tableColumn id="2" xr3:uid="{F6A49E73-956D-4353-8AD0-40EBCFF184D8}" name="MIXIMUM" dataDxfId="19">
      <calculatedColumnFormula>OR(I4&gt;10000, "TURE")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634135-E36B-4704-A6EA-982648F5FE2E}" name="Table9" displayName="Table9" ref="K30:L34" totalsRowShown="0" headerRowDxfId="18" dataDxfId="16" headerRowBorderDxfId="17" tableBorderDxfId="15" totalsRowBorderDxfId="14">
  <autoFilter ref="K30:L34" xr:uid="{17634135-E36B-4704-A6EA-982648F5FE2E}">
    <filterColumn colId="0" hiddenButton="1"/>
    <filterColumn colId="1" hiddenButton="1"/>
  </autoFilter>
  <tableColumns count="2">
    <tableColumn id="1" xr3:uid="{41E3A64C-3D90-45F4-90A0-46C4CEAEC90B}" name="Column1" dataDxfId="13"/>
    <tableColumn id="2" xr3:uid="{2E020713-ADB5-487E-8B41-DDA3C4FC265B}" name="REGION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5C9DDF-538F-48BD-B85A-0AAF62937631}" name="Table11" displayName="Table11" ref="O4:O8" headerRowCount="0" totalsRowShown="0" headerRowDxfId="11" dataDxfId="9" headerRowBorderDxfId="10" tableBorderDxfId="8" totalsRowBorderDxfId="7">
  <tableColumns count="1">
    <tableColumn id="1" xr3:uid="{39C34CE6-CDA4-4D58-A72E-50770DBDE1D6}" name="Column1" headerRowDxfId="6" dataDxfId="5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A49902-FD8F-49D3-9353-036202280B44}" name="Table10" displayName="Table10" ref="O13:O17" headerRowCount="0" totalsRowShown="0" headerRowDxfId="4" dataDxfId="3" tableBorderDxfId="2" totalsRowBorderDxfId="1">
  <tableColumns count="1">
    <tableColumn id="1" xr3:uid="{929E21B3-0B5E-49E0-BAD1-2BD481F39CD7}" name="Column1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85" zoomScaleNormal="85" workbookViewId="0">
      <selection activeCell="N25" sqref="N25"/>
    </sheetView>
  </sheetViews>
  <sheetFormatPr defaultRowHeight="14.4" x14ac:dyDescent="0.3"/>
  <cols>
    <col min="1" max="1" width="9.88671875" customWidth="1"/>
    <col min="2" max="2" width="16.6640625" customWidth="1"/>
    <col min="3" max="3" width="17.88671875" customWidth="1"/>
    <col min="4" max="4" width="11.5546875" customWidth="1"/>
    <col min="5" max="9" width="17.88671875" customWidth="1"/>
    <col min="10" max="10" width="6.88671875" customWidth="1"/>
    <col min="11" max="11" width="13.44140625" bestFit="1" customWidth="1"/>
    <col min="12" max="12" width="20" bestFit="1" customWidth="1"/>
    <col min="13" max="13" width="3.77734375" customWidth="1"/>
    <col min="14" max="14" width="23.21875" customWidth="1"/>
    <col min="15" max="15" width="15.77734375" customWidth="1"/>
    <col min="16" max="16" width="13.88671875" customWidth="1"/>
    <col min="17" max="17" width="10.5546875" customWidth="1"/>
    <col min="18" max="18" width="15.109375" bestFit="1" customWidth="1"/>
  </cols>
  <sheetData>
    <row r="1" spans="1:15" ht="33.6" customHeight="1" x14ac:dyDescent="0.3">
      <c r="A1" s="11"/>
      <c r="B1" s="48" t="s">
        <v>78</v>
      </c>
      <c r="C1" s="48"/>
      <c r="D1" s="48"/>
      <c r="E1" s="48"/>
      <c r="F1" s="48"/>
      <c r="G1" s="48"/>
      <c r="H1" s="48"/>
      <c r="I1" s="11"/>
    </row>
    <row r="2" spans="1:15" ht="25.8" customHeight="1" x14ac:dyDescent="0.3">
      <c r="A2" s="11"/>
      <c r="B2" s="48"/>
      <c r="C2" s="48"/>
      <c r="D2" s="48"/>
      <c r="E2" s="48"/>
      <c r="F2" s="48"/>
      <c r="G2" s="48"/>
      <c r="H2" s="48"/>
      <c r="I2" s="11"/>
    </row>
    <row r="3" spans="1:15" ht="25.8" x14ac:dyDescent="0.5">
      <c r="A3" s="11"/>
      <c r="B3" s="11"/>
      <c r="C3" s="11"/>
      <c r="D3" s="49" t="s">
        <v>79</v>
      </c>
      <c r="E3" s="11"/>
      <c r="F3" s="11"/>
      <c r="G3" s="11"/>
      <c r="H3" s="11"/>
      <c r="I3" s="11"/>
      <c r="K3" s="11" t="s">
        <v>64</v>
      </c>
      <c r="L3" s="11"/>
      <c r="N3" s="12" t="s">
        <v>63</v>
      </c>
      <c r="O3" s="11"/>
    </row>
    <row r="4" spans="1:15" x14ac:dyDescent="0.3">
      <c r="A4" s="13" t="s">
        <v>0</v>
      </c>
      <c r="B4" s="14" t="s">
        <v>1</v>
      </c>
      <c r="C4" s="15" t="s">
        <v>2</v>
      </c>
      <c r="D4" s="15" t="s">
        <v>36</v>
      </c>
      <c r="E4" s="15" t="s">
        <v>37</v>
      </c>
      <c r="F4" s="15" t="s">
        <v>39</v>
      </c>
      <c r="G4" s="15" t="s">
        <v>38</v>
      </c>
      <c r="H4" s="15" t="s">
        <v>3</v>
      </c>
      <c r="I4" s="15" t="s">
        <v>46</v>
      </c>
      <c r="J4" s="3"/>
      <c r="K4" s="19" t="s">
        <v>31</v>
      </c>
      <c r="L4" s="20" t="s">
        <v>35</v>
      </c>
      <c r="N4" s="25" t="s">
        <v>69</v>
      </c>
      <c r="O4" s="26">
        <f>SUM(I:I)</f>
        <v>340585</v>
      </c>
    </row>
    <row r="5" spans="1:15" x14ac:dyDescent="0.3">
      <c r="A5" s="16">
        <v>46023</v>
      </c>
      <c r="B5" s="17" t="s">
        <v>4</v>
      </c>
      <c r="C5" s="17" t="s">
        <v>73</v>
      </c>
      <c r="D5" s="17">
        <v>30</v>
      </c>
      <c r="E5" s="17">
        <v>450</v>
      </c>
      <c r="F5" s="17">
        <v>400</v>
      </c>
      <c r="G5" s="17">
        <f>SUM(Table1[[#This Row],[Quantity]]*Table1[[#This Row],[Unit Price]])</f>
        <v>13500</v>
      </c>
      <c r="H5" s="17">
        <f t="shared" ref="H5:H34" si="0">(E5-F5)*F5</f>
        <v>20000</v>
      </c>
      <c r="I5" s="17">
        <f>(Table1[[#This Row],[Quantity]]*Table1[[#This Row],[Unit Price]])</f>
        <v>13500</v>
      </c>
      <c r="K5" s="21" t="s">
        <v>47</v>
      </c>
      <c r="L5" s="22">
        <f t="shared" ref="L5" si="1">VLOOKUP(A5, A3:I34, 7,FALSE)</f>
        <v>13500</v>
      </c>
      <c r="N5" s="27" t="s">
        <v>27</v>
      </c>
      <c r="O5" s="26">
        <f>AVERAGE(I:I)</f>
        <v>11352.833333333334</v>
      </c>
    </row>
    <row r="6" spans="1:15" x14ac:dyDescent="0.3">
      <c r="A6" s="16">
        <v>46054</v>
      </c>
      <c r="B6" s="17" t="s">
        <v>6</v>
      </c>
      <c r="C6" s="17" t="s">
        <v>7</v>
      </c>
      <c r="D6" s="17">
        <v>25</v>
      </c>
      <c r="E6" s="17">
        <v>350</v>
      </c>
      <c r="F6" s="17">
        <v>200</v>
      </c>
      <c r="G6" s="17">
        <f>SUM(Table1[[#This Row],[Quantity]]*Table1[[#This Row],[Unit Price]])</f>
        <v>8750</v>
      </c>
      <c r="H6" s="17">
        <f t="shared" si="0"/>
        <v>30000</v>
      </c>
      <c r="I6" s="17">
        <f>(Table1[[#This Row],[Quantity]]*Table1[[#This Row],[Unit Price]])</f>
        <v>8750</v>
      </c>
      <c r="K6" s="21" t="s">
        <v>48</v>
      </c>
      <c r="L6" s="22">
        <f>VLOOKUP(A6, A4:I35, 7,FALSE)</f>
        <v>8750</v>
      </c>
      <c r="N6" s="25" t="s">
        <v>28</v>
      </c>
      <c r="O6" s="26">
        <f>MIN(I:I)</f>
        <v>3000</v>
      </c>
    </row>
    <row r="7" spans="1:15" x14ac:dyDescent="0.3">
      <c r="A7" s="16">
        <v>46082</v>
      </c>
      <c r="B7" s="17" t="s">
        <v>8</v>
      </c>
      <c r="C7" s="17" t="s">
        <v>9</v>
      </c>
      <c r="D7" s="17">
        <v>20</v>
      </c>
      <c r="E7" s="17">
        <v>200</v>
      </c>
      <c r="F7" s="17">
        <v>200</v>
      </c>
      <c r="G7" s="17">
        <f>SUM(Table1[[#This Row],[Quantity]]*Table1[[#This Row],[Unit Price]])</f>
        <v>4000</v>
      </c>
      <c r="H7" s="17">
        <f t="shared" si="0"/>
        <v>0</v>
      </c>
      <c r="I7" s="17">
        <f>(Table1[[#This Row],[Quantity]]*Table1[[#This Row],[Unit Price]])</f>
        <v>4000</v>
      </c>
      <c r="K7" s="23" t="s">
        <v>49</v>
      </c>
      <c r="L7" s="24">
        <f>VLOOKUP(A7, A5:I36, 7,FALSE)</f>
        <v>4000</v>
      </c>
      <c r="N7" s="27" t="s">
        <v>29</v>
      </c>
      <c r="O7" s="26">
        <f>MAX(I:I)</f>
        <v>27350</v>
      </c>
    </row>
    <row r="8" spans="1:15" x14ac:dyDescent="0.3">
      <c r="A8" s="16">
        <v>46113</v>
      </c>
      <c r="B8" s="17" t="s">
        <v>6</v>
      </c>
      <c r="C8" s="17" t="s">
        <v>10</v>
      </c>
      <c r="D8" s="17">
        <v>25</v>
      </c>
      <c r="E8" s="17">
        <v>450</v>
      </c>
      <c r="F8" s="17">
        <v>300</v>
      </c>
      <c r="G8" s="17">
        <f>SUM(Table1[[#This Row],[Quantity]]*Table1[[#This Row],[Unit Price]])</f>
        <v>11250</v>
      </c>
      <c r="H8" s="17">
        <f t="shared" si="0"/>
        <v>45000</v>
      </c>
      <c r="I8" s="17">
        <f>(Table1[[#This Row],[Quantity]]*Table1[[#This Row],[Unit Price]])</f>
        <v>11250</v>
      </c>
      <c r="J8" s="1"/>
      <c r="N8" s="25" t="s">
        <v>30</v>
      </c>
      <c r="O8" s="28">
        <f>COUNT(I:I)</f>
        <v>30</v>
      </c>
    </row>
    <row r="9" spans="1:15" x14ac:dyDescent="0.3">
      <c r="A9" s="16">
        <v>46143</v>
      </c>
      <c r="B9" s="17" t="s">
        <v>6</v>
      </c>
      <c r="C9" s="17" t="s">
        <v>73</v>
      </c>
      <c r="D9" s="17">
        <v>30</v>
      </c>
      <c r="E9" s="17">
        <v>200</v>
      </c>
      <c r="F9" s="17">
        <v>150</v>
      </c>
      <c r="G9" s="17">
        <f>SUM(Table1[[#This Row],[Quantity]]*Table1[[#This Row],[Unit Price]])</f>
        <v>6000</v>
      </c>
      <c r="H9" s="17">
        <f t="shared" si="0"/>
        <v>7500</v>
      </c>
      <c r="I9" s="17">
        <f>(Table1[[#This Row],[Quantity]]*Table1[[#This Row],[Unit Price]])</f>
        <v>6000</v>
      </c>
      <c r="J9" s="1"/>
    </row>
    <row r="10" spans="1:15" ht="18" x14ac:dyDescent="0.35">
      <c r="A10" s="16">
        <v>46174</v>
      </c>
      <c r="B10" s="17" t="s">
        <v>11</v>
      </c>
      <c r="C10" s="17" t="s">
        <v>7</v>
      </c>
      <c r="D10" s="17">
        <v>26</v>
      </c>
      <c r="E10" s="17">
        <v>200</v>
      </c>
      <c r="F10" s="17">
        <v>100</v>
      </c>
      <c r="G10" s="17">
        <f>SUM(Table1[[#This Row],[Quantity]]*Table1[[#This Row],[Unit Price]])</f>
        <v>5200</v>
      </c>
      <c r="H10" s="17">
        <f t="shared" si="0"/>
        <v>10000</v>
      </c>
      <c r="I10" s="17">
        <f>(Table1[[#This Row],[Quantity]]*Table1[[#This Row],[Unit Price]])</f>
        <v>5200</v>
      </c>
      <c r="J10" s="1"/>
      <c r="K10" s="11" t="s">
        <v>62</v>
      </c>
      <c r="L10" s="11"/>
    </row>
    <row r="11" spans="1:15" x14ac:dyDescent="0.3">
      <c r="A11" s="16">
        <v>46204</v>
      </c>
      <c r="B11" s="17" t="s">
        <v>4</v>
      </c>
      <c r="C11" s="17" t="s">
        <v>74</v>
      </c>
      <c r="D11" s="17">
        <v>30</v>
      </c>
      <c r="E11" s="17">
        <v>100</v>
      </c>
      <c r="F11" s="17">
        <v>80</v>
      </c>
      <c r="G11" s="17">
        <f>SUM(Table1[[#This Row],[Quantity]]*Table1[[#This Row],[Unit Price]])</f>
        <v>3000</v>
      </c>
      <c r="H11" s="17">
        <f t="shared" si="0"/>
        <v>1600</v>
      </c>
      <c r="I11" s="17">
        <f>(Table1[[#This Row],[Quantity]]*Table1[[#This Row],[Unit Price]])</f>
        <v>3000</v>
      </c>
      <c r="J11" s="1"/>
      <c r="K11" s="33" t="s">
        <v>33</v>
      </c>
      <c r="L11" s="34" t="s">
        <v>80</v>
      </c>
    </row>
    <row r="12" spans="1:15" ht="18" x14ac:dyDescent="0.35">
      <c r="A12" s="16">
        <v>46235</v>
      </c>
      <c r="B12" s="17" t="s">
        <v>11</v>
      </c>
      <c r="C12" s="17" t="s">
        <v>5</v>
      </c>
      <c r="D12" s="17">
        <v>15</v>
      </c>
      <c r="E12" s="17">
        <v>450</v>
      </c>
      <c r="F12" s="17">
        <v>300</v>
      </c>
      <c r="G12" s="17">
        <f>SUM(Table1[[#This Row],[Quantity]]*Table1[[#This Row],[Unit Price]])</f>
        <v>6750</v>
      </c>
      <c r="H12" s="17">
        <f t="shared" si="0"/>
        <v>45000</v>
      </c>
      <c r="I12" s="17">
        <f>(Table1[[#This Row],[Quantity]]*Table1[[#This Row],[Unit Price]])</f>
        <v>6750</v>
      </c>
      <c r="J12" s="1"/>
      <c r="K12" s="35" t="s">
        <v>34</v>
      </c>
      <c r="L12" s="36">
        <f ca="1">NOW()</f>
        <v>46075.756661226849</v>
      </c>
      <c r="N12" s="40" t="s">
        <v>66</v>
      </c>
      <c r="O12" s="40"/>
    </row>
    <row r="13" spans="1:15" x14ac:dyDescent="0.3">
      <c r="A13" s="16">
        <v>46266</v>
      </c>
      <c r="B13" s="17" t="s">
        <v>4</v>
      </c>
      <c r="C13" s="17" t="s">
        <v>73</v>
      </c>
      <c r="D13" s="17">
        <v>20</v>
      </c>
      <c r="E13" s="17">
        <v>600</v>
      </c>
      <c r="F13" s="17">
        <v>510</v>
      </c>
      <c r="G13" s="17">
        <f>SUM(Table1[[#This Row],[Quantity]]*Table1[[#This Row],[Unit Price]])</f>
        <v>12000</v>
      </c>
      <c r="H13" s="17">
        <f t="shared" si="0"/>
        <v>45900</v>
      </c>
      <c r="I13" s="17">
        <f>(Table1[[#This Row],[Quantity]]*Table1[[#This Row],[Unit Price]])</f>
        <v>12000</v>
      </c>
      <c r="J13" s="1"/>
      <c r="K13" s="37" t="s">
        <v>43</v>
      </c>
      <c r="L13" s="38">
        <v>30</v>
      </c>
      <c r="N13" s="29" t="s">
        <v>40</v>
      </c>
      <c r="O13" s="30">
        <f>AVERAGE(I:I)</f>
        <v>11352.833333333334</v>
      </c>
    </row>
    <row r="14" spans="1:15" x14ac:dyDescent="0.3">
      <c r="A14" s="16">
        <v>46296</v>
      </c>
      <c r="B14" s="17" t="s">
        <v>11</v>
      </c>
      <c r="C14" s="17" t="s">
        <v>5</v>
      </c>
      <c r="D14" s="17">
        <v>30</v>
      </c>
      <c r="E14" s="17">
        <v>250</v>
      </c>
      <c r="F14" s="17">
        <v>200</v>
      </c>
      <c r="G14" s="17">
        <f>SUM(Table1[[#This Row],[Quantity]]*Table1[[#This Row],[Unit Price]])</f>
        <v>7500</v>
      </c>
      <c r="H14" s="17">
        <f t="shared" si="0"/>
        <v>10000</v>
      </c>
      <c r="I14" s="17">
        <f>(Table1[[#This Row],[Quantity]]*Table1[[#This Row],[Unit Price]])</f>
        <v>7500</v>
      </c>
      <c r="J14" s="1"/>
      <c r="N14" s="27" t="s">
        <v>41</v>
      </c>
      <c r="O14" s="31" t="s">
        <v>70</v>
      </c>
    </row>
    <row r="15" spans="1:15" ht="18" x14ac:dyDescent="0.35">
      <c r="A15" s="16">
        <v>46327</v>
      </c>
      <c r="B15" s="17" t="s">
        <v>11</v>
      </c>
      <c r="C15" s="17" t="s">
        <v>7</v>
      </c>
      <c r="D15" s="17">
        <v>35</v>
      </c>
      <c r="E15" s="17">
        <v>210</v>
      </c>
      <c r="F15" s="17">
        <v>180</v>
      </c>
      <c r="G15" s="17">
        <f>SUM(Table1[[#This Row],[Quantity]]*Table1[[#This Row],[Unit Price]])</f>
        <v>7350</v>
      </c>
      <c r="H15" s="17">
        <f t="shared" si="0"/>
        <v>5400</v>
      </c>
      <c r="I15" s="17">
        <f>(Table1[[#This Row],[Quantity]]*Table1[[#This Row],[Unit Price]])</f>
        <v>7350</v>
      </c>
      <c r="J15" s="1"/>
      <c r="K15" s="40" t="s">
        <v>67</v>
      </c>
      <c r="L15" s="40"/>
      <c r="N15" s="25" t="s">
        <v>71</v>
      </c>
      <c r="O15" s="31">
        <f>MEDIAN(I:I)</f>
        <v>9715</v>
      </c>
    </row>
    <row r="16" spans="1:15" x14ac:dyDescent="0.3">
      <c r="A16" s="16">
        <v>46357</v>
      </c>
      <c r="B16" s="17" t="s">
        <v>6</v>
      </c>
      <c r="C16" s="17" t="s">
        <v>74</v>
      </c>
      <c r="D16" s="17">
        <v>40</v>
      </c>
      <c r="E16" s="17">
        <v>130</v>
      </c>
      <c r="F16" s="17">
        <v>150</v>
      </c>
      <c r="G16" s="17">
        <f>SUM(Table1[[#This Row],[Quantity]]*Table1[[#This Row],[Unit Price]])</f>
        <v>5200</v>
      </c>
      <c r="H16" s="17">
        <f t="shared" si="0"/>
        <v>-3000</v>
      </c>
      <c r="I16" s="17">
        <f>(Table1[[#This Row],[Quantity]]*Table1[[#This Row],[Unit Price]])</f>
        <v>5200</v>
      </c>
      <c r="J16" s="1"/>
      <c r="K16" s="39" t="s">
        <v>44</v>
      </c>
      <c r="L16" s="39" t="s">
        <v>52</v>
      </c>
      <c r="N16" s="27" t="s">
        <v>42</v>
      </c>
      <c r="O16" s="31">
        <f>_xlfn.STDEV.P(I:I)</f>
        <v>6319.6393203163807</v>
      </c>
    </row>
    <row r="17" spans="1:15" x14ac:dyDescent="0.3">
      <c r="A17" s="18" t="s">
        <v>12</v>
      </c>
      <c r="B17" s="17" t="s">
        <v>6</v>
      </c>
      <c r="C17" s="17" t="s">
        <v>7</v>
      </c>
      <c r="D17" s="17">
        <v>50</v>
      </c>
      <c r="E17" s="17">
        <v>150</v>
      </c>
      <c r="F17" s="17">
        <v>120</v>
      </c>
      <c r="G17" s="17">
        <f>SUM(Table1[[#This Row],[Quantity]]*Table1[[#This Row],[Unit Price]])</f>
        <v>7500</v>
      </c>
      <c r="H17" s="17">
        <f t="shared" si="0"/>
        <v>3600</v>
      </c>
      <c r="I17" s="17">
        <f>(Table1[[#This Row],[Quantity]]*Table1[[#This Row],[Unit Price]])</f>
        <v>7500</v>
      </c>
      <c r="J17" s="1"/>
      <c r="K17" s="8" t="s">
        <v>6</v>
      </c>
      <c r="L17" s="4">
        <v>95020</v>
      </c>
      <c r="N17" s="25" t="s">
        <v>72</v>
      </c>
      <c r="O17" s="32">
        <f>CORREL(I:I,H:H)</f>
        <v>0.41492570261302397</v>
      </c>
    </row>
    <row r="18" spans="1:15" x14ac:dyDescent="0.3">
      <c r="A18" s="18" t="s">
        <v>13</v>
      </c>
      <c r="B18" s="17" t="s">
        <v>11</v>
      </c>
      <c r="C18" s="17" t="s">
        <v>10</v>
      </c>
      <c r="D18" s="17">
        <v>60</v>
      </c>
      <c r="E18" s="17">
        <v>400</v>
      </c>
      <c r="F18" s="17">
        <v>230</v>
      </c>
      <c r="G18" s="17">
        <f>SUM(Table1[[#This Row],[Quantity]]*Table1[[#This Row],[Unit Price]])</f>
        <v>24000</v>
      </c>
      <c r="H18" s="17">
        <f t="shared" si="0"/>
        <v>39100</v>
      </c>
      <c r="I18" s="17">
        <f>(Table1[[#This Row],[Quantity]]*Table1[[#This Row],[Unit Price]])</f>
        <v>24000</v>
      </c>
      <c r="J18" s="1"/>
      <c r="K18" s="9" t="s">
        <v>4</v>
      </c>
      <c r="L18" s="6">
        <v>109995</v>
      </c>
    </row>
    <row r="19" spans="1:15" x14ac:dyDescent="0.3">
      <c r="A19" s="18" t="s">
        <v>14</v>
      </c>
      <c r="B19" s="17" t="s">
        <v>4</v>
      </c>
      <c r="C19" s="17" t="s">
        <v>7</v>
      </c>
      <c r="D19" s="17">
        <v>24</v>
      </c>
      <c r="E19" s="17">
        <v>500</v>
      </c>
      <c r="F19" s="17">
        <v>450</v>
      </c>
      <c r="G19" s="17">
        <f>SUM(Table1[[#This Row],[Quantity]]*Table1[[#This Row],[Unit Price]])</f>
        <v>12000</v>
      </c>
      <c r="H19" s="17">
        <f t="shared" si="0"/>
        <v>22500</v>
      </c>
      <c r="I19" s="17">
        <f>(Table1[[#This Row],[Quantity]]*Table1[[#This Row],[Unit Price]])</f>
        <v>12000</v>
      </c>
      <c r="J19" s="1"/>
      <c r="K19" s="9" t="s">
        <v>11</v>
      </c>
      <c r="L19" s="6">
        <v>84475</v>
      </c>
    </row>
    <row r="20" spans="1:15" x14ac:dyDescent="0.3">
      <c r="A20" s="18" t="s">
        <v>15</v>
      </c>
      <c r="B20" s="17" t="s">
        <v>6</v>
      </c>
      <c r="C20" s="17" t="s">
        <v>10</v>
      </c>
      <c r="D20" s="17">
        <v>25</v>
      </c>
      <c r="E20" s="17">
        <v>500</v>
      </c>
      <c r="F20" s="17">
        <v>550</v>
      </c>
      <c r="G20" s="17">
        <f>SUM(Table1[[#This Row],[Quantity]]*Table1[[#This Row],[Unit Price]])</f>
        <v>12500</v>
      </c>
      <c r="H20" s="17">
        <f t="shared" si="0"/>
        <v>-27500</v>
      </c>
      <c r="I20" s="17">
        <f>(Table1[[#This Row],[Quantity]]*Table1[[#This Row],[Unit Price]])</f>
        <v>12500</v>
      </c>
      <c r="J20" s="1"/>
      <c r="K20" s="10" t="s">
        <v>8</v>
      </c>
      <c r="L20" s="6">
        <v>68545</v>
      </c>
      <c r="N20" s="45" t="s">
        <v>75</v>
      </c>
      <c r="O20" s="46"/>
    </row>
    <row r="21" spans="1:15" x14ac:dyDescent="0.3">
      <c r="A21" s="18" t="s">
        <v>16</v>
      </c>
      <c r="B21" s="17" t="s">
        <v>11</v>
      </c>
      <c r="C21" s="17" t="s">
        <v>9</v>
      </c>
      <c r="D21" s="17">
        <v>30</v>
      </c>
      <c r="E21" s="17">
        <v>350</v>
      </c>
      <c r="F21" s="17">
        <v>300</v>
      </c>
      <c r="G21" s="17">
        <f>SUM(Table1[[#This Row],[Quantity]]*Table1[[#This Row],[Unit Price]])</f>
        <v>10500</v>
      </c>
      <c r="H21" s="17">
        <f t="shared" si="0"/>
        <v>15000</v>
      </c>
      <c r="I21" s="17">
        <f>(Table1[[#This Row],[Quantity]]*Table1[[#This Row],[Unit Price]])</f>
        <v>10500</v>
      </c>
      <c r="J21" s="1"/>
      <c r="K21" s="5" t="s">
        <v>45</v>
      </c>
      <c r="L21" s="7">
        <v>358035</v>
      </c>
      <c r="N21" s="18" t="s">
        <v>76</v>
      </c>
      <c r="O21" s="47">
        <f>PMT(5%/12, 60, O4)</f>
        <v>-6427.2591106454647</v>
      </c>
    </row>
    <row r="22" spans="1:15" x14ac:dyDescent="0.3">
      <c r="A22" s="18" t="s">
        <v>51</v>
      </c>
      <c r="B22" s="17" t="s">
        <v>8</v>
      </c>
      <c r="C22" s="17" t="s">
        <v>74</v>
      </c>
      <c r="D22" s="17">
        <v>40</v>
      </c>
      <c r="E22" s="17">
        <v>245</v>
      </c>
      <c r="F22" s="17">
        <v>220</v>
      </c>
      <c r="G22" s="17">
        <f>SUM(Table1[[#This Row],[Quantity]]*Table1[[#This Row],[Unit Price]])</f>
        <v>9800</v>
      </c>
      <c r="H22" s="17">
        <f t="shared" si="0"/>
        <v>5500</v>
      </c>
      <c r="I22" s="17">
        <f>(Table1[[#This Row],[Quantity]]*Table1[[#This Row],[Unit Price]])</f>
        <v>9800</v>
      </c>
      <c r="J22" s="1"/>
      <c r="N22" s="18" t="s">
        <v>77</v>
      </c>
      <c r="O22" s="47">
        <f>NPV(5%,Table1[REVENUE])</f>
        <v>156109.34935374084</v>
      </c>
    </row>
    <row r="23" spans="1:15" x14ac:dyDescent="0.3">
      <c r="A23" s="18" t="s">
        <v>32</v>
      </c>
      <c r="B23" s="17" t="s">
        <v>11</v>
      </c>
      <c r="C23" s="17" t="s">
        <v>7</v>
      </c>
      <c r="D23" s="17">
        <v>45</v>
      </c>
      <c r="E23" s="17">
        <v>365</v>
      </c>
      <c r="F23" s="17">
        <v>350</v>
      </c>
      <c r="G23" s="17">
        <f>SUM(Table1[[#This Row],[Quantity]]*Table1[[#This Row],[Unit Price]])</f>
        <v>16425</v>
      </c>
      <c r="H23" s="17">
        <f t="shared" si="0"/>
        <v>5250</v>
      </c>
      <c r="I23" s="17">
        <f>(Table1[[#This Row],[Quantity]]*Table1[[#This Row],[Unit Price]])</f>
        <v>16425</v>
      </c>
      <c r="J23" s="1"/>
    </row>
    <row r="24" spans="1:15" ht="18" x14ac:dyDescent="0.35">
      <c r="A24" s="18" t="s">
        <v>17</v>
      </c>
      <c r="B24" s="17" t="s">
        <v>8</v>
      </c>
      <c r="C24" s="17" t="s">
        <v>9</v>
      </c>
      <c r="D24" s="17">
        <v>35</v>
      </c>
      <c r="E24" s="17">
        <v>245</v>
      </c>
      <c r="F24" s="17">
        <v>240</v>
      </c>
      <c r="G24" s="17">
        <f>SUM(Table1[[#This Row],[Quantity]]*Table1[[#This Row],[Unit Price]])</f>
        <v>8575</v>
      </c>
      <c r="H24" s="17">
        <f t="shared" si="0"/>
        <v>1200</v>
      </c>
      <c r="I24" s="17">
        <f>(Table1[[#This Row],[Quantity]]*Table1[[#This Row],[Unit Price]])</f>
        <v>8575</v>
      </c>
      <c r="J24" s="1"/>
      <c r="K24" s="41" t="s">
        <v>68</v>
      </c>
      <c r="L24" s="11"/>
    </row>
    <row r="25" spans="1:15" x14ac:dyDescent="0.3">
      <c r="A25" s="18" t="s">
        <v>18</v>
      </c>
      <c r="B25" s="17" t="s">
        <v>11</v>
      </c>
      <c r="C25" s="17" t="s">
        <v>73</v>
      </c>
      <c r="D25" s="17">
        <v>50</v>
      </c>
      <c r="E25" s="17">
        <v>142</v>
      </c>
      <c r="F25" s="17">
        <v>120</v>
      </c>
      <c r="G25" s="17">
        <f>SUM(Table1[[#This Row],[Quantity]]*Table1[[#This Row],[Unit Price]])</f>
        <v>7100</v>
      </c>
      <c r="H25" s="17">
        <f t="shared" si="0"/>
        <v>2640</v>
      </c>
      <c r="I25" s="17">
        <f>(Table1[[#This Row],[Quantity]]*Table1[[#This Row],[Unit Price]])</f>
        <v>7100</v>
      </c>
      <c r="J25" s="1"/>
      <c r="K25" s="42" t="s">
        <v>53</v>
      </c>
      <c r="L25" s="43" t="s">
        <v>56</v>
      </c>
    </row>
    <row r="26" spans="1:15" x14ac:dyDescent="0.3">
      <c r="A26" s="18" t="s">
        <v>19</v>
      </c>
      <c r="B26" s="17" t="s">
        <v>6</v>
      </c>
      <c r="C26" s="17" t="s">
        <v>7</v>
      </c>
      <c r="D26" s="17">
        <v>40</v>
      </c>
      <c r="E26" s="17">
        <v>356</v>
      </c>
      <c r="F26" s="17">
        <v>350</v>
      </c>
      <c r="G26" s="17">
        <f>SUM(Table1[[#This Row],[Quantity]]*Table1[[#This Row],[Unit Price]])</f>
        <v>14240</v>
      </c>
      <c r="H26" s="17">
        <f t="shared" si="0"/>
        <v>2100</v>
      </c>
      <c r="I26" s="17">
        <f>(Table1[[#This Row],[Quantity]]*Table1[[#This Row],[Unit Price]])</f>
        <v>14240</v>
      </c>
      <c r="J26" s="1"/>
      <c r="K26" s="42" t="s">
        <v>54</v>
      </c>
      <c r="L26" s="42" t="b">
        <f>AND(I5&gt;20000, "TURE")</f>
        <v>0</v>
      </c>
    </row>
    <row r="27" spans="1:15" x14ac:dyDescent="0.3">
      <c r="A27" s="18" t="s">
        <v>20</v>
      </c>
      <c r="B27" s="17" t="s">
        <v>6</v>
      </c>
      <c r="C27" s="17" t="s">
        <v>10</v>
      </c>
      <c r="D27" s="17">
        <v>30</v>
      </c>
      <c r="E27" s="17">
        <v>255</v>
      </c>
      <c r="F27" s="17">
        <v>200</v>
      </c>
      <c r="G27" s="17">
        <f>SUM(Table1[[#This Row],[Quantity]]*Table1[[#This Row],[Unit Price]])</f>
        <v>7650</v>
      </c>
      <c r="H27" s="17">
        <f t="shared" si="0"/>
        <v>11000</v>
      </c>
      <c r="I27" s="17">
        <f>(Table1[[#This Row],[Quantity]]*Table1[[#This Row],[Unit Price]])</f>
        <v>7650</v>
      </c>
      <c r="J27" s="1"/>
      <c r="K27" s="42" t="s">
        <v>55</v>
      </c>
      <c r="L27" s="42" t="b">
        <f>OR(I5&gt;10000, "TURE")</f>
        <v>1</v>
      </c>
    </row>
    <row r="28" spans="1:15" x14ac:dyDescent="0.3">
      <c r="A28" s="18" t="s">
        <v>50</v>
      </c>
      <c r="B28" s="17" t="s">
        <v>4</v>
      </c>
      <c r="C28" s="17" t="s">
        <v>73</v>
      </c>
      <c r="D28" s="17">
        <v>35</v>
      </c>
      <c r="E28" s="17">
        <v>145</v>
      </c>
      <c r="F28" s="17">
        <v>140</v>
      </c>
      <c r="G28" s="17">
        <f>SUM(Table1[[#This Row],[Quantity]]*Table1[[#This Row],[Unit Price]])</f>
        <v>5075</v>
      </c>
      <c r="H28" s="17">
        <f t="shared" si="0"/>
        <v>700</v>
      </c>
      <c r="I28" s="17">
        <f>(Table1[[#This Row],[Quantity]]*Table1[[#This Row],[Unit Price]])</f>
        <v>5075</v>
      </c>
      <c r="J28" s="1"/>
    </row>
    <row r="29" spans="1:15" ht="18" x14ac:dyDescent="0.35">
      <c r="A29" s="18" t="s">
        <v>21</v>
      </c>
      <c r="B29" s="17" t="s">
        <v>4</v>
      </c>
      <c r="C29" s="17" t="s">
        <v>5</v>
      </c>
      <c r="D29" s="17">
        <v>40</v>
      </c>
      <c r="E29" s="17">
        <v>365</v>
      </c>
      <c r="F29" s="17">
        <v>300</v>
      </c>
      <c r="G29" s="17">
        <f>SUM(Table1[[#This Row],[Quantity]]*Table1[[#This Row],[Unit Price]])</f>
        <v>14600</v>
      </c>
      <c r="H29" s="17">
        <f t="shared" si="0"/>
        <v>19500</v>
      </c>
      <c r="I29" s="17">
        <f>(Table1[[#This Row],[Quantity]]*Table1[[#This Row],[Unit Price]])</f>
        <v>14600</v>
      </c>
      <c r="J29" s="1"/>
      <c r="K29" s="40" t="s">
        <v>65</v>
      </c>
      <c r="L29" s="40"/>
      <c r="M29" s="2"/>
    </row>
    <row r="30" spans="1:15" x14ac:dyDescent="0.3">
      <c r="A30" s="18" t="s">
        <v>22</v>
      </c>
      <c r="B30" s="17" t="s">
        <v>4</v>
      </c>
      <c r="C30" s="17" t="s">
        <v>7</v>
      </c>
      <c r="D30" s="17">
        <v>40</v>
      </c>
      <c r="E30" s="17">
        <v>569</v>
      </c>
      <c r="F30" s="17">
        <v>500</v>
      </c>
      <c r="G30" s="17">
        <f>SUM(Table1[[#This Row],[Quantity]]*Table1[[#This Row],[Unit Price]])</f>
        <v>22760</v>
      </c>
      <c r="H30" s="17">
        <f t="shared" si="0"/>
        <v>34500</v>
      </c>
      <c r="I30" s="17">
        <f>(Table1[[#This Row],[Quantity]]*Table1[[#This Row],[Unit Price]])</f>
        <v>22760</v>
      </c>
      <c r="J30" s="1"/>
      <c r="K30" s="19" t="s">
        <v>31</v>
      </c>
      <c r="L30" s="44" t="s">
        <v>61</v>
      </c>
    </row>
    <row r="31" spans="1:15" x14ac:dyDescent="0.3">
      <c r="A31" s="18" t="s">
        <v>23</v>
      </c>
      <c r="B31" s="17" t="s">
        <v>8</v>
      </c>
      <c r="C31" s="17" t="s">
        <v>10</v>
      </c>
      <c r="D31" s="17">
        <v>50</v>
      </c>
      <c r="E31" s="17">
        <v>547</v>
      </c>
      <c r="F31" s="17">
        <v>500</v>
      </c>
      <c r="G31" s="17">
        <f>SUM(Table1[[#This Row],[Quantity]]*Table1[[#This Row],[Unit Price]])</f>
        <v>27350</v>
      </c>
      <c r="H31" s="17">
        <f t="shared" si="0"/>
        <v>23500</v>
      </c>
      <c r="I31" s="17">
        <f>(Table1[[#This Row],[Quantity]]*Table1[[#This Row],[Unit Price]])</f>
        <v>27350</v>
      </c>
      <c r="J31" s="1"/>
      <c r="K31" s="21" t="s">
        <v>57</v>
      </c>
      <c r="L31" s="22" t="str">
        <f>LEFT(B7,4)</f>
        <v>West</v>
      </c>
    </row>
    <row r="32" spans="1:15" x14ac:dyDescent="0.3">
      <c r="A32" s="18" t="s">
        <v>24</v>
      </c>
      <c r="B32" s="17" t="s">
        <v>4</v>
      </c>
      <c r="C32" s="17" t="s">
        <v>7</v>
      </c>
      <c r="D32" s="17">
        <v>30</v>
      </c>
      <c r="E32" s="17">
        <v>852</v>
      </c>
      <c r="F32" s="17">
        <v>800</v>
      </c>
      <c r="G32" s="17">
        <f>SUM(Table1[[#This Row],[Quantity]]*Table1[[#This Row],[Unit Price]])</f>
        <v>25560</v>
      </c>
      <c r="H32" s="17">
        <f t="shared" si="0"/>
        <v>41600</v>
      </c>
      <c r="I32" s="17">
        <f>(Table1[[#This Row],[Quantity]]*Table1[[#This Row],[Unit Price]])</f>
        <v>25560</v>
      </c>
      <c r="J32" s="1"/>
      <c r="K32" s="21" t="s">
        <v>58</v>
      </c>
      <c r="L32" s="22" t="str">
        <f>RIGHT(B30,4)</f>
        <v>orth</v>
      </c>
    </row>
    <row r="33" spans="1:12" x14ac:dyDescent="0.3">
      <c r="A33" s="18" t="s">
        <v>25</v>
      </c>
      <c r="B33" s="17" t="s">
        <v>6</v>
      </c>
      <c r="C33" s="17" t="s">
        <v>9</v>
      </c>
      <c r="D33" s="17">
        <v>10</v>
      </c>
      <c r="E33" s="17">
        <v>963</v>
      </c>
      <c r="F33" s="17">
        <v>900</v>
      </c>
      <c r="G33" s="17">
        <f>SUM(Table1[[#This Row],[Quantity]]*Table1[[#This Row],[Unit Price]])</f>
        <v>9630</v>
      </c>
      <c r="H33" s="17">
        <f t="shared" si="0"/>
        <v>56700</v>
      </c>
      <c r="I33" s="17">
        <f>(Table1[[#This Row],[Quantity]]*Table1[[#This Row],[Unit Price]])</f>
        <v>9630</v>
      </c>
      <c r="J33" s="1"/>
      <c r="K33" s="21" t="s">
        <v>59</v>
      </c>
      <c r="L33" s="22" t="str">
        <f>MID(B14,2,3)</f>
        <v>out</v>
      </c>
    </row>
    <row r="34" spans="1:12" x14ac:dyDescent="0.3">
      <c r="A34" s="18" t="s">
        <v>26</v>
      </c>
      <c r="B34" s="17" t="s">
        <v>8</v>
      </c>
      <c r="C34" s="17" t="s">
        <v>5</v>
      </c>
      <c r="D34" s="17">
        <v>20</v>
      </c>
      <c r="E34" s="17">
        <v>741</v>
      </c>
      <c r="F34" s="17">
        <v>700</v>
      </c>
      <c r="G34" s="17">
        <f>SUM(Table1[[#This Row],[Quantity]]*Table1[[#This Row],[Unit Price]])</f>
        <v>14820</v>
      </c>
      <c r="H34" s="17">
        <f t="shared" si="0"/>
        <v>28700</v>
      </c>
      <c r="I34" s="17">
        <f>(Table1[[#This Row],[Quantity]]*Table1[[#This Row],[Unit Price]])</f>
        <v>14820</v>
      </c>
      <c r="J34" s="1"/>
      <c r="K34" s="23" t="s">
        <v>60</v>
      </c>
      <c r="L34" s="24" t="str">
        <f>_xlfn.CONCAT(B25,C25)</f>
        <v>SouthCamera</v>
      </c>
    </row>
  </sheetData>
  <mergeCells count="2">
    <mergeCell ref="N20:O20"/>
    <mergeCell ref="B1:H2"/>
  </mergeCells>
  <phoneticPr fontId="10" type="noConversion"/>
  <pageMargins left="0.75" right="0.75" top="1" bottom="1" header="0.5" footer="0.5"/>
  <pageSetup orientation="portrait" r:id="rId2"/>
  <drawing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2026-02-13T17:17:06Z</dcterms:created>
  <dcterms:modified xsi:type="dcterms:W3CDTF">2026-02-22T12:39:58Z</dcterms:modified>
</cp:coreProperties>
</file>