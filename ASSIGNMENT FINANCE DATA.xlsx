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8_{59B5326B-5F98-4206-A3C5-44FF332C84D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INANCE" sheetId="1" r:id="rId1"/>
  </sheets>
  <calcPr calcId="191029"/>
  <pivotCaches>
    <pivotCache cacheId="2" r:id="rId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4" i="1" l="1"/>
  <c r="L3" i="1"/>
  <c r="H20" i="1"/>
  <c r="H28" i="1"/>
  <c r="H29" i="1"/>
  <c r="H30" i="1"/>
  <c r="H16" i="1"/>
  <c r="H3" i="1"/>
  <c r="H7" i="1"/>
  <c r="H6" i="1"/>
  <c r="H5" i="1"/>
  <c r="H4" i="1"/>
  <c r="H13" i="1"/>
  <c r="H12" i="1"/>
  <c r="H11" i="1"/>
  <c r="H10" i="1"/>
  <c r="H19" i="1"/>
  <c r="H18" i="1"/>
  <c r="H25" i="1"/>
  <c r="H24" i="1"/>
  <c r="H23" i="1"/>
  <c r="H34" i="1"/>
  <c r="H33" i="1"/>
</calcChain>
</file>

<file path=xl/sharedStrings.xml><?xml version="1.0" encoding="utf-8"?>
<sst xmlns="http://schemas.openxmlformats.org/spreadsheetml/2006/main" count="40" uniqueCount="40">
  <si>
    <t>Revenue</t>
  </si>
  <si>
    <t>Expenses</t>
  </si>
  <si>
    <t>Profit</t>
  </si>
  <si>
    <t>Budget_vs_Actual</t>
  </si>
  <si>
    <t>LEFT()</t>
  </si>
  <si>
    <t>RIGHT()</t>
  </si>
  <si>
    <t>MID()</t>
  </si>
  <si>
    <t>CONCAT()</t>
  </si>
  <si>
    <t>MEAN()</t>
  </si>
  <si>
    <t>MODE()</t>
  </si>
  <si>
    <t>MEDIAN()</t>
  </si>
  <si>
    <t>STANDARD DEVIATION()</t>
  </si>
  <si>
    <t>Correlation ()</t>
  </si>
  <si>
    <t>VLOOKUP()</t>
  </si>
  <si>
    <t>HLOOKUP()</t>
  </si>
  <si>
    <t>XLOOKUP()</t>
  </si>
  <si>
    <t>sum()</t>
  </si>
  <si>
    <t>AVERAGE()</t>
  </si>
  <si>
    <t>MIN()</t>
  </si>
  <si>
    <t>MAX()</t>
  </si>
  <si>
    <t>COUNT()</t>
  </si>
  <si>
    <t>IF</t>
  </si>
  <si>
    <t xml:space="preserve">OR </t>
  </si>
  <si>
    <t>AND</t>
  </si>
  <si>
    <t>TODAY()</t>
  </si>
  <si>
    <t>NOW()</t>
  </si>
  <si>
    <t xml:space="preserve"> DATEDIF()</t>
  </si>
  <si>
    <t>NO</t>
  </si>
  <si>
    <r>
      <t xml:space="preserve">              </t>
    </r>
    <r>
      <rPr>
        <b/>
        <sz val="12"/>
        <color theme="1"/>
        <rFont val="Calibri"/>
        <family val="2"/>
        <scheme val="minor"/>
      </rPr>
      <t xml:space="preserve">  STATISTICS FUNCTION</t>
    </r>
  </si>
  <si>
    <r>
      <t xml:space="preserve">                       </t>
    </r>
    <r>
      <rPr>
        <b/>
        <sz val="12"/>
        <color theme="1"/>
        <rFont val="Calibri"/>
        <family val="2"/>
        <scheme val="minor"/>
      </rPr>
      <t>TEXT FUNCTION</t>
    </r>
  </si>
  <si>
    <t xml:space="preserve">          MATHEMATICAL FUNCTION</t>
  </si>
  <si>
    <r>
      <t xml:space="preserve">                    </t>
    </r>
    <r>
      <rPr>
        <b/>
        <sz val="12"/>
        <color theme="1"/>
        <rFont val="Calibri"/>
        <family val="2"/>
        <scheme val="minor"/>
      </rPr>
      <t>LOOKUP FUNCTION</t>
    </r>
  </si>
  <si>
    <r>
      <t xml:space="preserve">                 </t>
    </r>
    <r>
      <rPr>
        <b/>
        <sz val="12"/>
        <color theme="1"/>
        <rFont val="Calibri"/>
        <family val="2"/>
        <scheme val="minor"/>
      </rPr>
      <t>LOGICAL FUNCTION</t>
    </r>
  </si>
  <si>
    <r>
      <t xml:space="preserve">                     </t>
    </r>
    <r>
      <rPr>
        <b/>
        <sz val="12"/>
        <color theme="1"/>
        <rFont val="Calibri"/>
        <family val="2"/>
        <scheme val="minor"/>
      </rPr>
      <t xml:space="preserve"> DATE FUNCTION</t>
    </r>
  </si>
  <si>
    <t xml:space="preserve">Excel &amp; Advanced Excel Applications in Business Analytics </t>
  </si>
  <si>
    <t>Daily Fnance Report</t>
  </si>
  <si>
    <t>Sum of Expenses</t>
  </si>
  <si>
    <t xml:space="preserve">Financial Functions </t>
  </si>
  <si>
    <t>PMT</t>
  </si>
  <si>
    <t>NPV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</si>
</sst>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39997558519241921"/>
        <bgColor theme="9" tint="0.59999389629810485"/>
      </patternFill>
    </fill>
    <fill>
      <patternFill patternType="solid">
        <fgColor theme="4" tint="0.39997558519241921"/>
        <bgColor theme="9" tint="0.79998168889431442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2" borderId="0" xfId="0" applyFill="1"/>
    <xf numFmtId="0" fontId="5" fillId="2" borderId="0" xfId="0" applyFont="1" applyFill="1" applyAlignment="1">
      <alignment horizontal="center"/>
    </xf>
    <xf numFmtId="0" fontId="0" fillId="3" borderId="10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6" fillId="2" borderId="8" xfId="0" applyFont="1" applyFill="1" applyBorder="1" applyAlignment="1">
      <alignment horizontal="center"/>
    </xf>
    <xf numFmtId="0" fontId="6" fillId="2" borderId="7" xfId="0" applyFont="1" applyFill="1" applyBorder="1" applyAlignment="1">
      <alignment horizontal="center"/>
    </xf>
    <xf numFmtId="0" fontId="6" fillId="2" borderId="9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1" fillId="4" borderId="1" xfId="0" applyFont="1" applyFill="1" applyBorder="1"/>
    <xf numFmtId="0" fontId="1" fillId="5" borderId="1" xfId="0" applyFont="1" applyFill="1" applyBorder="1"/>
    <xf numFmtId="0" fontId="2" fillId="4" borderId="2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14" fontId="0" fillId="3" borderId="1" xfId="0" applyNumberFormat="1" applyFill="1" applyBorder="1" applyAlignment="1">
      <alignment horizontal="center"/>
    </xf>
    <xf numFmtId="22" fontId="0" fillId="3" borderId="1" xfId="0" applyNumberFormat="1" applyFill="1" applyBorder="1" applyAlignment="1">
      <alignment horizontal="center"/>
    </xf>
    <xf numFmtId="0" fontId="3" fillId="2" borderId="0" xfId="0" applyFont="1" applyFill="1"/>
    <xf numFmtId="0" fontId="0" fillId="0" borderId="0" xfId="0" applyNumberFormat="1"/>
    <xf numFmtId="0" fontId="4" fillId="2" borderId="2" xfId="0" applyFont="1" applyFill="1" applyBorder="1" applyAlignment="1">
      <alignment horizontal="center"/>
    </xf>
    <xf numFmtId="0" fontId="4" fillId="2" borderId="10" xfId="0" applyFont="1" applyFill="1" applyBorder="1" applyAlignment="1">
      <alignment horizontal="center"/>
    </xf>
    <xf numFmtId="0" fontId="0" fillId="3" borderId="1" xfId="0" applyFill="1" applyBorder="1"/>
    <xf numFmtId="0" fontId="0" fillId="3" borderId="1" xfId="0" applyNumberFormat="1" applyFill="1" applyBorder="1"/>
  </cellXfs>
  <cellStyles count="1">
    <cellStyle name="Normal" xfId="0" builtinId="0"/>
  </cellStyles>
  <dxfs count="36">
    <dxf>
      <fill>
        <patternFill>
          <bgColor theme="4" tint="0.39997558519241921"/>
        </patternFill>
      </fill>
    </dxf>
    <dxf>
      <fill>
        <patternFill>
          <bgColor theme="4" tint="0.3999755851924192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>
          <bgColor theme="4" tint="0.39997558519241921"/>
        </patternFill>
      </fill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ill>
        <patternFill>
          <bgColor theme="4" tint="0.39997558519241921"/>
        </patternFill>
      </fill>
      <alignment horizontal="center" vertical="bottom" textRotation="0" wrapText="0" indent="0" justifyLastLine="0" shrinkToFit="0" readingOrder="0"/>
    </dxf>
    <dxf>
      <fill>
        <patternFill>
          <bgColor theme="4" tint="0.3999755851924192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>
          <bgColor theme="4" tint="0.3999755851924192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ill>
        <patternFill>
          <bgColor theme="4" tint="0.39997558519241921"/>
        </patternFill>
      </fill>
      <alignment horizontal="center" vertical="bottom" textRotation="0" wrapText="0" indent="0" justifyLastLine="0" shrinkToFit="0" readingOrder="0"/>
    </dxf>
    <dxf>
      <fill>
        <patternFill>
          <bgColor theme="4" tint="0.3999755851924192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>
          <bgColor theme="4" tint="0.3999755851924192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ill>
        <patternFill>
          <bgColor theme="4" tint="0.39997558519241921"/>
        </patternFill>
      </fill>
      <alignment horizontal="center" vertical="bottom" textRotation="0" wrapText="0" indent="0" justifyLastLine="0" shrinkToFit="0" readingOrder="0"/>
    </dxf>
    <dxf>
      <fill>
        <patternFill>
          <bgColor theme="4" tint="0.3999755851924192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>
          <bgColor theme="4" tint="0.3999755851924192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ill>
        <patternFill>
          <bgColor theme="4" tint="0.39997558519241921"/>
        </patternFill>
      </fill>
      <alignment horizontal="center" vertical="bottom" textRotation="0" wrapText="0" indent="0" justifyLastLine="0" shrinkToFit="0" readingOrder="0"/>
    </dxf>
    <dxf>
      <fill>
        <patternFill>
          <bgColor theme="4" tint="0.3999755851924192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>
          <bgColor theme="4" tint="0.3999755851924192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ill>
        <patternFill>
          <bgColor theme="4" tint="0.39997558519241921"/>
        </patternFill>
      </fill>
      <alignment horizontal="center" vertical="bottom" textRotation="0" wrapText="0" indent="0" justifyLastLine="0" shrinkToFit="0" readingOrder="0"/>
    </dxf>
    <dxf>
      <fill>
        <patternFill>
          <bgColor theme="4" tint="0.3999755851924192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>
          <bgColor theme="4" tint="0.3999755851924192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>
          <fgColor indexed="64"/>
          <bgColor rgb="FF0070C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[ASSIGNMENT FINANCE DATA.xlsx]FINANCE!PivotTable1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FINANCE!$L$8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FINANCE!$L$9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FINANCE!$L$9</c:f>
              <c:numCache>
                <c:formatCode>General</c:formatCode>
                <c:ptCount val="1"/>
                <c:pt idx="0">
                  <c:v>1472040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4A0-4655-ACBF-2D0B55C8C4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12583360"/>
        <c:axId val="1812577952"/>
      </c:barChart>
      <c:catAx>
        <c:axId val="1812583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2577952"/>
        <c:crosses val="autoZero"/>
        <c:auto val="1"/>
        <c:lblAlgn val="ctr"/>
        <c:lblOffset val="100"/>
        <c:noMultiLvlLbl val="0"/>
      </c:catAx>
      <c:valAx>
        <c:axId val="1812577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2583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FINANCE!$A$4:$A$33</c:f>
              <c:numCache>
                <c:formatCode>General</c:formatCode>
                <c:ptCount val="30"/>
                <c:pt idx="0">
                  <c:v>25000</c:v>
                </c:pt>
                <c:pt idx="1">
                  <c:v>25600</c:v>
                </c:pt>
                <c:pt idx="2">
                  <c:v>46000</c:v>
                </c:pt>
                <c:pt idx="3">
                  <c:v>25500</c:v>
                </c:pt>
                <c:pt idx="4">
                  <c:v>56000</c:v>
                </c:pt>
                <c:pt idx="5">
                  <c:v>45500</c:v>
                </c:pt>
                <c:pt idx="6">
                  <c:v>21500</c:v>
                </c:pt>
                <c:pt idx="7">
                  <c:v>65500</c:v>
                </c:pt>
                <c:pt idx="8">
                  <c:v>25000</c:v>
                </c:pt>
                <c:pt idx="9">
                  <c:v>11500</c:v>
                </c:pt>
                <c:pt idx="10">
                  <c:v>68800</c:v>
                </c:pt>
                <c:pt idx="11">
                  <c:v>79500</c:v>
                </c:pt>
                <c:pt idx="12">
                  <c:v>65000</c:v>
                </c:pt>
                <c:pt idx="13">
                  <c:v>66500</c:v>
                </c:pt>
                <c:pt idx="14">
                  <c:v>89000</c:v>
                </c:pt>
                <c:pt idx="15">
                  <c:v>69300</c:v>
                </c:pt>
                <c:pt idx="16">
                  <c:v>99000</c:v>
                </c:pt>
                <c:pt idx="17">
                  <c:v>89500</c:v>
                </c:pt>
                <c:pt idx="18">
                  <c:v>75000</c:v>
                </c:pt>
                <c:pt idx="19">
                  <c:v>75200</c:v>
                </c:pt>
                <c:pt idx="20">
                  <c:v>93000</c:v>
                </c:pt>
                <c:pt idx="21">
                  <c:v>56000</c:v>
                </c:pt>
                <c:pt idx="22">
                  <c:v>69800</c:v>
                </c:pt>
                <c:pt idx="23">
                  <c:v>68500</c:v>
                </c:pt>
                <c:pt idx="24">
                  <c:v>52000</c:v>
                </c:pt>
                <c:pt idx="25">
                  <c:v>10200</c:v>
                </c:pt>
                <c:pt idx="26">
                  <c:v>85000</c:v>
                </c:pt>
                <c:pt idx="27">
                  <c:v>36500</c:v>
                </c:pt>
                <c:pt idx="28">
                  <c:v>92000</c:v>
                </c:pt>
                <c:pt idx="29">
                  <c:v>69500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F64-4C12-956A-7884805A0F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2699376"/>
        <c:axId val="492682320"/>
      </c:lineChart>
      <c:catAx>
        <c:axId val="49269937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2682320"/>
        <c:crosses val="autoZero"/>
        <c:auto val="1"/>
        <c:lblAlgn val="ctr"/>
        <c:lblOffset val="100"/>
        <c:noMultiLvlLbl val="0"/>
      </c:catAx>
      <c:valAx>
        <c:axId val="492682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2699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308658</xdr:colOff>
      <xdr:row>10</xdr:row>
      <xdr:rowOff>86810</xdr:rowOff>
    </xdr:from>
    <xdr:to>
      <xdr:col>16</xdr:col>
      <xdr:colOff>501570</xdr:colOff>
      <xdr:row>24</xdr:row>
      <xdr:rowOff>163975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5C005AB-0F35-4A43-86A1-9501B3A73C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318305</xdr:colOff>
      <xdr:row>26</xdr:row>
      <xdr:rowOff>19292</xdr:rowOff>
    </xdr:from>
    <xdr:to>
      <xdr:col>16</xdr:col>
      <xdr:colOff>530506</xdr:colOff>
      <xdr:row>38</xdr:row>
      <xdr:rowOff>163976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F7DB7C5-E6F6-42AC-923E-0C7538D6E6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075.778607870372" createdVersion="7" refreshedVersion="7" minRefreshableVersion="3" recordCount="30" xr:uid="{29D6ACC6-6981-4A4B-A089-47295BF7A2C4}">
  <cacheSource type="worksheet">
    <worksheetSource name="Table1"/>
  </cacheSource>
  <cacheFields count="4">
    <cacheField name="Revenue" numFmtId="0">
      <sharedItems containsSemiMixedTypes="0" containsString="0" containsNumber="1" containsInteger="1" minValue="10200" maxValue="99000"/>
    </cacheField>
    <cacheField name="Expenses" numFmtId="0">
      <sharedItems containsSemiMixedTypes="0" containsString="0" containsNumber="1" containsInteger="1" minValue="25000" maxValue="98600"/>
    </cacheField>
    <cacheField name="Profit" numFmtId="0">
      <sharedItems containsSemiMixedTypes="0" containsString="0" containsNumber="1" containsInteger="1" minValue="21000" maxValue="35500"/>
    </cacheField>
    <cacheField name="Budget_vs_Actual" numFmtId="0">
      <sharedItems containsSemiMixedTypes="0" containsString="0" containsNumber="1" containsInteger="1" minValue="2100" maxValue="5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n v="25000"/>
    <n v="36500"/>
    <n v="21000"/>
    <n v="4000"/>
  </r>
  <r>
    <n v="25600"/>
    <n v="25540"/>
    <n v="21500"/>
    <n v="2500"/>
  </r>
  <r>
    <n v="46000"/>
    <n v="25200"/>
    <n v="22000"/>
    <n v="3000"/>
  </r>
  <r>
    <n v="25500"/>
    <n v="25500"/>
    <n v="22500"/>
    <n v="2875"/>
  </r>
  <r>
    <n v="56000"/>
    <n v="25500"/>
    <n v="23000"/>
    <n v="3500"/>
  </r>
  <r>
    <n v="45500"/>
    <n v="98000"/>
    <n v="23500"/>
    <n v="3025"/>
  </r>
  <r>
    <n v="21500"/>
    <n v="98600"/>
    <n v="24000"/>
    <n v="3100"/>
  </r>
  <r>
    <n v="65500"/>
    <n v="35600"/>
    <n v="24500"/>
    <n v="2500"/>
  </r>
  <r>
    <n v="25000"/>
    <n v="25000"/>
    <n v="25000"/>
    <n v="4000"/>
  </r>
  <r>
    <n v="11500"/>
    <n v="56000"/>
    <n v="25500"/>
    <n v="3000"/>
  </r>
  <r>
    <n v="68800"/>
    <n v="35600"/>
    <n v="26000"/>
    <n v="2100"/>
  </r>
  <r>
    <n v="79500"/>
    <n v="58000"/>
    <n v="26500"/>
    <n v="5000"/>
  </r>
  <r>
    <n v="65000"/>
    <n v="26000"/>
    <n v="27000"/>
    <n v="3200"/>
  </r>
  <r>
    <n v="66500"/>
    <n v="45000"/>
    <n v="27500"/>
    <n v="4100"/>
  </r>
  <r>
    <n v="89000"/>
    <n v="46000"/>
    <n v="28000"/>
    <n v="3700"/>
  </r>
  <r>
    <n v="69300"/>
    <n v="47000"/>
    <n v="28500"/>
    <n v="3775"/>
  </r>
  <r>
    <n v="99000"/>
    <n v="48000"/>
    <n v="29000"/>
    <n v="3850"/>
  </r>
  <r>
    <n v="89500"/>
    <n v="49000"/>
    <n v="29500"/>
    <n v="3925"/>
  </r>
  <r>
    <n v="75000"/>
    <n v="50000"/>
    <n v="30000"/>
    <n v="2925"/>
  </r>
  <r>
    <n v="75200"/>
    <n v="51000"/>
    <n v="30500"/>
    <n v="4075"/>
  </r>
  <r>
    <n v="93000"/>
    <n v="52000"/>
    <n v="31000"/>
    <n v="4150"/>
  </r>
  <r>
    <n v="56000"/>
    <n v="53000"/>
    <n v="31500"/>
    <n v="4225"/>
  </r>
  <r>
    <n v="69800"/>
    <n v="54000"/>
    <n v="32000"/>
    <n v="4200"/>
  </r>
  <r>
    <n v="68500"/>
    <n v="55000"/>
    <n v="32500"/>
    <n v="2400"/>
  </r>
  <r>
    <n v="52000"/>
    <n v="56000"/>
    <n v="33000"/>
    <n v="4450"/>
  </r>
  <r>
    <n v="10200"/>
    <n v="57000"/>
    <n v="33500"/>
    <n v="4525"/>
  </r>
  <r>
    <n v="85000"/>
    <n v="58000"/>
    <n v="34000"/>
    <n v="4600"/>
  </r>
  <r>
    <n v="36500"/>
    <n v="59000"/>
    <n v="34500"/>
    <n v="4675"/>
  </r>
  <r>
    <n v="92000"/>
    <n v="60000"/>
    <n v="35000"/>
    <n v="4750"/>
  </r>
  <r>
    <n v="69500"/>
    <n v="61000"/>
    <n v="35500"/>
    <n v="482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E9CEC2-1224-40C0-9EED-C0CF8630A4FF}" name="PivotTable1" cacheId="2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L8:L9" firstHeaderRow="1" firstDataRow="1" firstDataCol="0"/>
  <pivotFields count="4">
    <pivotField showAll="0"/>
    <pivotField dataField="1" showAll="0"/>
    <pivotField showAll="0"/>
    <pivotField showAll="0"/>
  </pivotFields>
  <rowItems count="1">
    <i/>
  </rowItems>
  <colItems count="1">
    <i/>
  </colItems>
  <dataFields count="1">
    <dataField name="Sum of Expenses" fld="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C226748-309F-4279-BD09-F5140F37D95F}" name="Table1" displayName="Table1" ref="A3:D33" totalsRowShown="0" headerRowDxfId="18" dataDxfId="19" headerRowBorderDxfId="35" tableBorderDxfId="34" totalsRowBorderDxfId="33">
  <autoFilter ref="A3:D33" xr:uid="{CC226748-309F-4279-BD09-F5140F37D95F}">
    <filterColumn colId="0" hiddenButton="1"/>
    <filterColumn colId="1" hiddenButton="1"/>
    <filterColumn colId="2" hiddenButton="1"/>
    <filterColumn colId="3" hiddenButton="1"/>
  </autoFilter>
  <tableColumns count="4">
    <tableColumn id="1" xr3:uid="{2C9E3E3E-5347-400B-8C02-696CA210FDF3}" name="Revenue" dataDxfId="23"/>
    <tableColumn id="2" xr3:uid="{26E46F0F-EB47-4740-92AC-DCE6BD8314AF}" name="Expenses" dataDxfId="22"/>
    <tableColumn id="3" xr3:uid="{6D00EB31-D3C9-471D-B8D3-28670F884B83}" name="Profit" dataDxfId="21"/>
    <tableColumn id="4" xr3:uid="{048F5D6D-8FF2-4D5F-B36A-1BA09E314EB5}" name="Budget_vs_Actual" dataDxfId="20"/>
  </tableColumns>
  <tableStyleInfo name="TableStyleMedium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79D9F46-8EC5-4CEC-8A2C-BCA29EE9EB0A}" name="Table6" displayName="Table6" ref="H10:H13" headerRowCount="0" totalsRowShown="0" headerRowDxfId="13" dataDxfId="12" tableBorderDxfId="32" totalsRowBorderDxfId="31">
  <tableColumns count="1">
    <tableColumn id="1" xr3:uid="{C54D62A8-7D89-4483-BD88-4B75AD0C302B}" name="Column1" dataDxfId="14"/>
  </tableColumns>
  <tableStyleInfo name="TableStyleMedium1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3A85C36-CAA6-4D5C-BE8B-799BBDF08DBF}" name="Table7" displayName="Table7" ref="H3:H7" headerRowCount="0" totalsRowShown="0" headerRowDxfId="16" dataDxfId="15" tableBorderDxfId="30" totalsRowBorderDxfId="29">
  <tableColumns count="1">
    <tableColumn id="1" xr3:uid="{196B2075-3F41-4D25-A97A-9D9D51418914}" name="Column1" dataDxfId="17"/>
  </tableColumns>
  <tableStyleInfo name="TableStyleMedium1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4D0DC49-0725-426E-A9C6-A88F9CB04F26}" name="Table9" displayName="Table9" ref="H16:H20" headerRowCount="0" totalsRowShown="0" headerRowDxfId="10" dataDxfId="9" tableBorderDxfId="28" totalsRowBorderDxfId="27">
  <tableColumns count="1">
    <tableColumn id="1" xr3:uid="{512F195A-0C0E-4E85-96C3-FE96F090173B}" name="Column1" dataDxfId="11"/>
  </tableColumns>
  <tableStyleInfo name="TableStyleMedium14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1E4211A7-68E2-4217-B4A0-6258AF371B50}" name="Table11" displayName="Table11" ref="H23:H25" headerRowCount="0" totalsRowShown="0" headerRowDxfId="7" dataDxfId="6">
  <tableColumns count="1">
    <tableColumn id="1" xr3:uid="{D58D4579-2980-4432-94D2-4FAE7D831A07}" name="Column1" dataDxfId="8"/>
  </tableColumns>
  <tableStyleInfo name="TableStyleMedium14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522872A0-D0B9-49A2-9345-D0E6876BE8C6}" name="Table13" displayName="Table13" ref="H28:H30" headerRowCount="0" totalsRowShown="0" headerRowDxfId="4" dataDxfId="3" tableBorderDxfId="26" totalsRowBorderDxfId="25">
  <tableColumns count="1">
    <tableColumn id="1" xr3:uid="{D27ACC7B-67D0-4FC2-8BE5-0CCE20C26585}" name="Column1" dataDxfId="5"/>
  </tableColumns>
  <tableStyleInfo name="TableStyleMedium14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53CA360A-29A8-4FD5-8A47-1FA7AF657E2B}" name="Table14" displayName="Table14" ref="H33:H35" headerRowCount="0" totalsRowShown="0" headerRowDxfId="1" dataDxfId="0">
  <tableColumns count="1">
    <tableColumn id="1" xr3:uid="{25F57D21-1797-4ACE-BDC0-30BF070721C9}" name="Column1" headerRowDxfId="24" dataDxfId="2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6.xml"/><Relationship Id="rId3" Type="http://schemas.openxmlformats.org/officeDocument/2006/relationships/table" Target="../tables/table1.xml"/><Relationship Id="rId7" Type="http://schemas.openxmlformats.org/officeDocument/2006/relationships/table" Target="../tables/table5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Relationship Id="rId6" Type="http://schemas.openxmlformats.org/officeDocument/2006/relationships/table" Target="../tables/table4.xml"/><Relationship Id="rId5" Type="http://schemas.openxmlformats.org/officeDocument/2006/relationships/table" Target="../tables/table3.xml"/><Relationship Id="rId4" Type="http://schemas.openxmlformats.org/officeDocument/2006/relationships/table" Target="../tables/table2.xml"/><Relationship Id="rId9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5"/>
  <sheetViews>
    <sheetView tabSelected="1" zoomScale="79" workbookViewId="0">
      <selection activeCell="I12" sqref="I12"/>
    </sheetView>
  </sheetViews>
  <sheetFormatPr defaultRowHeight="14.4" x14ac:dyDescent="0.3"/>
  <cols>
    <col min="1" max="1" width="20.33203125" customWidth="1"/>
    <col min="2" max="2" width="32" customWidth="1"/>
    <col min="3" max="3" width="24.21875" customWidth="1"/>
    <col min="4" max="4" width="16.5546875" bestFit="1" customWidth="1"/>
    <col min="7" max="7" width="20.5546875" customWidth="1"/>
    <col min="8" max="8" width="15.6640625" customWidth="1"/>
    <col min="11" max="11" width="12.6640625" customWidth="1"/>
    <col min="12" max="12" width="15.77734375" bestFit="1" customWidth="1"/>
  </cols>
  <sheetData>
    <row r="1" spans="1:12" ht="21" x14ac:dyDescent="0.4">
      <c r="A1" s="2" t="s">
        <v>34</v>
      </c>
      <c r="B1" s="2"/>
      <c r="C1" s="2"/>
      <c r="D1" s="2"/>
    </row>
    <row r="2" spans="1:12" ht="18" x14ac:dyDescent="0.35">
      <c r="A2" s="1"/>
      <c r="B2" s="12" t="s">
        <v>35</v>
      </c>
      <c r="C2" s="1"/>
      <c r="D2" s="1"/>
      <c r="G2" s="24" t="s">
        <v>30</v>
      </c>
      <c r="H2" s="1"/>
      <c r="K2" s="26" t="s">
        <v>37</v>
      </c>
      <c r="L2" s="27"/>
    </row>
    <row r="3" spans="1:12" x14ac:dyDescent="0.3">
      <c r="A3" s="9" t="s">
        <v>0</v>
      </c>
      <c r="B3" s="10" t="s">
        <v>1</v>
      </c>
      <c r="C3" s="10" t="s">
        <v>2</v>
      </c>
      <c r="D3" s="11" t="s">
        <v>3</v>
      </c>
      <c r="G3" s="13" t="s">
        <v>16</v>
      </c>
      <c r="H3" s="14">
        <f>SUM(Table1[Budget_vs_Actual])</f>
        <v>110950</v>
      </c>
      <c r="K3" s="28" t="s">
        <v>38</v>
      </c>
      <c r="L3" s="29">
        <f>PMT(5%/10, 50, Table7[[#This Row],[Column1]])</f>
        <v>-2513.4344515800562</v>
      </c>
    </row>
    <row r="4" spans="1:12" x14ac:dyDescent="0.3">
      <c r="A4" s="3">
        <v>25000</v>
      </c>
      <c r="B4" s="4">
        <v>36500</v>
      </c>
      <c r="C4" s="4">
        <v>21000</v>
      </c>
      <c r="D4" s="5">
        <v>4000</v>
      </c>
      <c r="G4" s="15" t="s">
        <v>17</v>
      </c>
      <c r="H4" s="16">
        <f>AVERAGE(Table1[Budget_vs_Actual])</f>
        <v>3698.3333333333335</v>
      </c>
      <c r="K4" s="28" t="s">
        <v>39</v>
      </c>
      <c r="L4" s="29">
        <f>NPV(5%,Table1[Profit])</f>
        <v>407132.74723661022</v>
      </c>
    </row>
    <row r="5" spans="1:12" x14ac:dyDescent="0.3">
      <c r="A5" s="3">
        <v>25600</v>
      </c>
      <c r="B5" s="4">
        <v>25540</v>
      </c>
      <c r="C5" s="4">
        <v>21500</v>
      </c>
      <c r="D5" s="5">
        <v>2500</v>
      </c>
      <c r="G5" s="13" t="s">
        <v>18</v>
      </c>
      <c r="H5" s="16">
        <f>MIN(Table1[Budget_vs_Actual])</f>
        <v>2100</v>
      </c>
    </row>
    <row r="6" spans="1:12" x14ac:dyDescent="0.3">
      <c r="A6" s="3">
        <v>46000</v>
      </c>
      <c r="B6" s="4">
        <v>25200</v>
      </c>
      <c r="C6" s="4">
        <v>22000</v>
      </c>
      <c r="D6" s="5">
        <v>3000</v>
      </c>
      <c r="G6" s="15" t="s">
        <v>19</v>
      </c>
      <c r="H6" s="16">
        <f>MAX(Table1[Budget_vs_Actual])</f>
        <v>5000</v>
      </c>
    </row>
    <row r="7" spans="1:12" x14ac:dyDescent="0.3">
      <c r="A7" s="3">
        <v>25500</v>
      </c>
      <c r="B7" s="4">
        <v>25500</v>
      </c>
      <c r="C7" s="4">
        <v>22500</v>
      </c>
      <c r="D7" s="5">
        <v>2875</v>
      </c>
      <c r="G7" s="13" t="s">
        <v>20</v>
      </c>
      <c r="H7" s="17">
        <f>COUNT(Table1[Budget_vs_Actual])</f>
        <v>30</v>
      </c>
    </row>
    <row r="8" spans="1:12" x14ac:dyDescent="0.3">
      <c r="A8" s="3">
        <v>56000</v>
      </c>
      <c r="B8" s="4">
        <v>25500</v>
      </c>
      <c r="C8" s="4">
        <v>23000</v>
      </c>
      <c r="D8" s="5">
        <v>3500</v>
      </c>
      <c r="L8" t="s">
        <v>36</v>
      </c>
    </row>
    <row r="9" spans="1:12" ht="15.6" x14ac:dyDescent="0.3">
      <c r="A9" s="3">
        <v>45500</v>
      </c>
      <c r="B9" s="4">
        <v>98000</v>
      </c>
      <c r="C9" s="4">
        <v>23500</v>
      </c>
      <c r="D9" s="5">
        <v>3025</v>
      </c>
      <c r="G9" s="1" t="s">
        <v>29</v>
      </c>
      <c r="H9" s="1"/>
      <c r="L9" s="25">
        <v>1472040</v>
      </c>
    </row>
    <row r="10" spans="1:12" x14ac:dyDescent="0.3">
      <c r="A10" s="3">
        <v>21500</v>
      </c>
      <c r="B10" s="4">
        <v>98600</v>
      </c>
      <c r="C10" s="4">
        <v>24000</v>
      </c>
      <c r="D10" s="5">
        <v>3100</v>
      </c>
      <c r="G10" s="13" t="s">
        <v>4</v>
      </c>
      <c r="H10" s="14" t="str">
        <f>LEFT(A4,3)</f>
        <v>250</v>
      </c>
    </row>
    <row r="11" spans="1:12" x14ac:dyDescent="0.3">
      <c r="A11" s="3">
        <v>65500</v>
      </c>
      <c r="B11" s="4">
        <v>35600</v>
      </c>
      <c r="C11" s="4">
        <v>24500</v>
      </c>
      <c r="D11" s="5">
        <v>2500</v>
      </c>
      <c r="G11" s="15" t="s">
        <v>5</v>
      </c>
      <c r="H11" s="16" t="str">
        <f>RIGHT(A4,2)</f>
        <v>00</v>
      </c>
    </row>
    <row r="12" spans="1:12" x14ac:dyDescent="0.3">
      <c r="A12" s="3">
        <v>25000</v>
      </c>
      <c r="B12" s="4">
        <v>25000</v>
      </c>
      <c r="C12" s="4">
        <v>25000</v>
      </c>
      <c r="D12" s="5">
        <v>4000</v>
      </c>
      <c r="G12" s="13" t="s">
        <v>6</v>
      </c>
      <c r="H12" s="16" t="str">
        <f>MID(A4,2,3)</f>
        <v>500</v>
      </c>
    </row>
    <row r="13" spans="1:12" x14ac:dyDescent="0.3">
      <c r="A13" s="3">
        <v>11500</v>
      </c>
      <c r="B13" s="4">
        <v>56000</v>
      </c>
      <c r="C13" s="4">
        <v>25500</v>
      </c>
      <c r="D13" s="5">
        <v>3000</v>
      </c>
      <c r="G13" s="15" t="s">
        <v>7</v>
      </c>
      <c r="H13" s="17" t="str">
        <f>_xlfn.CONCAT(A4,D4)</f>
        <v>250004000</v>
      </c>
    </row>
    <row r="14" spans="1:12" x14ac:dyDescent="0.3">
      <c r="A14" s="3">
        <v>68800</v>
      </c>
      <c r="B14" s="4">
        <v>35600</v>
      </c>
      <c r="C14" s="4">
        <v>26000</v>
      </c>
      <c r="D14" s="5">
        <v>2100</v>
      </c>
    </row>
    <row r="15" spans="1:12" ht="15.6" x14ac:dyDescent="0.3">
      <c r="A15" s="3">
        <v>79500</v>
      </c>
      <c r="B15" s="4">
        <v>58000</v>
      </c>
      <c r="C15" s="4">
        <v>26500</v>
      </c>
      <c r="D15" s="5">
        <v>5000</v>
      </c>
      <c r="G15" s="1" t="s">
        <v>28</v>
      </c>
      <c r="H15" s="1"/>
    </row>
    <row r="16" spans="1:12" x14ac:dyDescent="0.3">
      <c r="A16" s="3">
        <v>65000</v>
      </c>
      <c r="B16" s="4">
        <v>26000</v>
      </c>
      <c r="C16" s="4">
        <v>27000</v>
      </c>
      <c r="D16" s="5">
        <v>3200</v>
      </c>
      <c r="G16" s="18" t="s">
        <v>8</v>
      </c>
      <c r="H16" s="14">
        <f>AVERAGE(D4:D33)</f>
        <v>3698.3333333333335</v>
      </c>
    </row>
    <row r="17" spans="1:8" x14ac:dyDescent="0.3">
      <c r="A17" s="3">
        <v>66500</v>
      </c>
      <c r="B17" s="4">
        <v>45000</v>
      </c>
      <c r="C17" s="4">
        <v>27500</v>
      </c>
      <c r="D17" s="5">
        <v>4100</v>
      </c>
      <c r="G17" s="19" t="s">
        <v>9</v>
      </c>
      <c r="H17" s="16" t="s">
        <v>27</v>
      </c>
    </row>
    <row r="18" spans="1:8" x14ac:dyDescent="0.3">
      <c r="A18" s="3">
        <v>89000</v>
      </c>
      <c r="B18" s="4">
        <v>46000</v>
      </c>
      <c r="C18" s="4">
        <v>28000</v>
      </c>
      <c r="D18" s="5">
        <v>3700</v>
      </c>
      <c r="G18" s="18" t="s">
        <v>10</v>
      </c>
      <c r="H18" s="16">
        <f>MEDIAN(Table1[Budget_vs_Actual])</f>
        <v>3887.5</v>
      </c>
    </row>
    <row r="19" spans="1:8" x14ac:dyDescent="0.3">
      <c r="A19" s="3">
        <v>69300</v>
      </c>
      <c r="B19" s="4">
        <v>47000</v>
      </c>
      <c r="C19" s="4">
        <v>28500</v>
      </c>
      <c r="D19" s="5">
        <v>3775</v>
      </c>
      <c r="G19" s="19" t="s">
        <v>11</v>
      </c>
      <c r="H19" s="16">
        <f>_xlfn.STDEV.P(Table1[Budget_vs_Actual])</f>
        <v>792.59419349094117</v>
      </c>
    </row>
    <row r="20" spans="1:8" x14ac:dyDescent="0.3">
      <c r="A20" s="3">
        <v>99000</v>
      </c>
      <c r="B20" s="4">
        <v>48000</v>
      </c>
      <c r="C20" s="4">
        <v>29000</v>
      </c>
      <c r="D20" s="5">
        <v>3850</v>
      </c>
      <c r="G20" s="18" t="s">
        <v>12</v>
      </c>
      <c r="H20" s="17">
        <f>CORREL(B:B,C:C)</f>
        <v>0.34163456553735777</v>
      </c>
    </row>
    <row r="21" spans="1:8" x14ac:dyDescent="0.3">
      <c r="A21" s="3">
        <v>89500</v>
      </c>
      <c r="B21" s="4">
        <v>49000</v>
      </c>
      <c r="C21" s="4">
        <v>29500</v>
      </c>
      <c r="D21" s="5">
        <v>3925</v>
      </c>
    </row>
    <row r="22" spans="1:8" ht="15.6" x14ac:dyDescent="0.3">
      <c r="A22" s="3">
        <v>75000</v>
      </c>
      <c r="B22" s="4">
        <v>50000</v>
      </c>
      <c r="C22" s="4">
        <v>30000</v>
      </c>
      <c r="D22" s="5">
        <v>2925</v>
      </c>
      <c r="G22" s="1" t="s">
        <v>31</v>
      </c>
      <c r="H22" s="1"/>
    </row>
    <row r="23" spans="1:8" x14ac:dyDescent="0.3">
      <c r="A23" s="3">
        <v>75200</v>
      </c>
      <c r="B23" s="4">
        <v>51000</v>
      </c>
      <c r="C23" s="4">
        <v>30500</v>
      </c>
      <c r="D23" s="5">
        <v>4075</v>
      </c>
      <c r="G23" s="13" t="s">
        <v>13</v>
      </c>
      <c r="H23" s="4">
        <f>VLOOKUP(A4,A4:D33,3,FALSE)</f>
        <v>21000</v>
      </c>
    </row>
    <row r="24" spans="1:8" x14ac:dyDescent="0.3">
      <c r="A24" s="3">
        <v>93000</v>
      </c>
      <c r="B24" s="4">
        <v>52000</v>
      </c>
      <c r="C24" s="4">
        <v>31000</v>
      </c>
      <c r="D24" s="5">
        <v>4150</v>
      </c>
      <c r="G24" s="15" t="s">
        <v>14</v>
      </c>
      <c r="H24" s="4">
        <f>HLOOKUP(A4,A4:D33,2,FALSE)</f>
        <v>25600</v>
      </c>
    </row>
    <row r="25" spans="1:8" x14ac:dyDescent="0.3">
      <c r="A25" s="3">
        <v>56000</v>
      </c>
      <c r="B25" s="4">
        <v>53000</v>
      </c>
      <c r="C25" s="4">
        <v>31500</v>
      </c>
      <c r="D25" s="5">
        <v>4225</v>
      </c>
      <c r="G25" s="13" t="s">
        <v>15</v>
      </c>
      <c r="H25" s="4">
        <f>VLOOKUP(A5,A4:D33,4,FALSE)</f>
        <v>2500</v>
      </c>
    </row>
    <row r="26" spans="1:8" x14ac:dyDescent="0.3">
      <c r="A26" s="3">
        <v>69800</v>
      </c>
      <c r="B26" s="4">
        <v>54000</v>
      </c>
      <c r="C26" s="4">
        <v>32000</v>
      </c>
      <c r="D26" s="5">
        <v>4200</v>
      </c>
    </row>
    <row r="27" spans="1:8" ht="15.6" x14ac:dyDescent="0.3">
      <c r="A27" s="3">
        <v>68500</v>
      </c>
      <c r="B27" s="4">
        <v>55000</v>
      </c>
      <c r="C27" s="4">
        <v>32500</v>
      </c>
      <c r="D27" s="5">
        <v>2400</v>
      </c>
      <c r="G27" s="1" t="s">
        <v>32</v>
      </c>
      <c r="H27" s="1"/>
    </row>
    <row r="28" spans="1:8" x14ac:dyDescent="0.3">
      <c r="A28" s="3">
        <v>52000</v>
      </c>
      <c r="B28" s="4">
        <v>56000</v>
      </c>
      <c r="C28" s="4">
        <v>33000</v>
      </c>
      <c r="D28" s="5">
        <v>4450</v>
      </c>
      <c r="G28" s="20" t="s">
        <v>21</v>
      </c>
      <c r="H28" s="14" t="str">
        <f>IF(D4&gt;2500,"MINIMUM")</f>
        <v>MINIMUM</v>
      </c>
    </row>
    <row r="29" spans="1:8" x14ac:dyDescent="0.3">
      <c r="A29" s="3">
        <v>10200</v>
      </c>
      <c r="B29" s="4">
        <v>57000</v>
      </c>
      <c r="C29" s="4">
        <v>33500</v>
      </c>
      <c r="D29" s="5">
        <v>4525</v>
      </c>
      <c r="G29" s="21" t="s">
        <v>22</v>
      </c>
      <c r="H29" s="16" t="b">
        <f>OR(D4&gt;3000,"TURE")</f>
        <v>1</v>
      </c>
    </row>
    <row r="30" spans="1:8" x14ac:dyDescent="0.3">
      <c r="A30" s="3">
        <v>85000</v>
      </c>
      <c r="B30" s="4">
        <v>58000</v>
      </c>
      <c r="C30" s="4">
        <v>34000</v>
      </c>
      <c r="D30" s="5">
        <v>4600</v>
      </c>
      <c r="G30" s="20" t="s">
        <v>23</v>
      </c>
      <c r="H30" s="17" t="b">
        <f>AND(D4&gt;2500,"TURE")</f>
        <v>1</v>
      </c>
    </row>
    <row r="31" spans="1:8" x14ac:dyDescent="0.3">
      <c r="A31" s="3">
        <v>36500</v>
      </c>
      <c r="B31" s="4">
        <v>59000</v>
      </c>
      <c r="C31" s="4">
        <v>34500</v>
      </c>
      <c r="D31" s="5">
        <v>4675</v>
      </c>
    </row>
    <row r="32" spans="1:8" ht="15.6" x14ac:dyDescent="0.3">
      <c r="A32" s="3">
        <v>92000</v>
      </c>
      <c r="B32" s="4">
        <v>60000</v>
      </c>
      <c r="C32" s="4">
        <v>35000</v>
      </c>
      <c r="D32" s="5">
        <v>4750</v>
      </c>
      <c r="G32" s="1" t="s">
        <v>33</v>
      </c>
      <c r="H32" s="1"/>
    </row>
    <row r="33" spans="1:8" x14ac:dyDescent="0.3">
      <c r="A33" s="6">
        <v>69500</v>
      </c>
      <c r="B33" s="7">
        <v>61000</v>
      </c>
      <c r="C33" s="7">
        <v>35500</v>
      </c>
      <c r="D33" s="8">
        <v>4825</v>
      </c>
      <c r="G33" s="13" t="s">
        <v>24</v>
      </c>
      <c r="H33" s="22">
        <f ca="1">TODAY()</f>
        <v>46075</v>
      </c>
    </row>
    <row r="34" spans="1:8" x14ac:dyDescent="0.3">
      <c r="G34" s="15" t="s">
        <v>25</v>
      </c>
      <c r="H34" s="23">
        <f ca="1">NOW()</f>
        <v>46075.790521643517</v>
      </c>
    </row>
    <row r="35" spans="1:8" x14ac:dyDescent="0.3">
      <c r="G35" s="13" t="s">
        <v>26</v>
      </c>
      <c r="H35" s="4">
        <v>30</v>
      </c>
    </row>
  </sheetData>
  <mergeCells count="2">
    <mergeCell ref="A1:D1"/>
    <mergeCell ref="K2:L2"/>
  </mergeCells>
  <pageMargins left="0.75" right="0.75" top="1" bottom="1" header="0.5" footer="0.5"/>
  <drawing r:id="rId2"/>
  <tableParts count="7">
    <tablePart r:id="rId3"/>
    <tablePart r:id="rId4"/>
    <tablePart r:id="rId5"/>
    <tablePart r:id="rId6"/>
    <tablePart r:id="rId7"/>
    <tablePart r:id="rId8"/>
    <tablePart r:id="rId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2026-02-16T10:22:50Z</dcterms:created>
  <dcterms:modified xsi:type="dcterms:W3CDTF">2026-02-22T13:28:21Z</dcterms:modified>
</cp:coreProperties>
</file>